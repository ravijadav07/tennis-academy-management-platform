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v\Desktop\ARNAV JAIN FOLDER\Tennis\THE CLUB\AI\PUCHO\"/>
    </mc:Choice>
  </mc:AlternateContent>
  <xr:revisionPtr revIDLastSave="0" documentId="13_ncr:1_{9F81FD69-BF2E-4A93-A299-27249199E937}" xr6:coauthVersionLast="47" xr6:coauthVersionMax="47" xr10:uidLastSave="{00000000-0000-0000-0000-000000000000}"/>
  <bookViews>
    <workbookView xWindow="-108" yWindow="-108" windowWidth="23256" windowHeight="12456" activeTab="3" xr2:uid="{238AF425-0258-4446-A953-DF37B89F413D}"/>
  </bookViews>
  <sheets>
    <sheet name="MWF" sheetId="1" r:id="rId1"/>
    <sheet name="TTS" sheetId="2" r:id="rId2"/>
    <sheet name="Sat &amp; Sun" sheetId="4" r:id="rId3"/>
    <sheet name="Slot Analysis" sheetId="3" r:id="rId4"/>
    <sheet name="Team Details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5" l="1"/>
  <c r="B3" i="5"/>
  <c r="B4" i="3"/>
  <c r="B3" i="3"/>
  <c r="B2" i="3"/>
  <c r="B8" i="3"/>
  <c r="B7" i="3"/>
  <c r="B9" i="3" l="1"/>
  <c r="H43" i="3"/>
  <c r="H42" i="3"/>
  <c r="H40" i="3"/>
  <c r="H36" i="3"/>
  <c r="E43" i="3"/>
  <c r="E42" i="3"/>
  <c r="E40" i="3"/>
  <c r="E36" i="3"/>
  <c r="B43" i="3"/>
  <c r="B42" i="3"/>
  <c r="B40" i="3"/>
  <c r="B36" i="3"/>
  <c r="K28" i="3"/>
  <c r="H28" i="3"/>
  <c r="E28" i="3"/>
  <c r="B28" i="3"/>
  <c r="K27" i="3"/>
  <c r="H27" i="3"/>
  <c r="E27" i="3"/>
  <c r="B27" i="3"/>
  <c r="K25" i="3"/>
  <c r="H25" i="3"/>
  <c r="E25" i="3"/>
  <c r="B25" i="3"/>
  <c r="K21" i="3"/>
  <c r="H21" i="3"/>
  <c r="E21" i="3"/>
  <c r="B21" i="3"/>
  <c r="K11" i="3"/>
  <c r="H11" i="3"/>
  <c r="E11" i="3"/>
  <c r="K10" i="3"/>
  <c r="H10" i="3"/>
  <c r="E10" i="3"/>
  <c r="K8" i="3"/>
  <c r="H8" i="3"/>
  <c r="E8" i="3"/>
  <c r="K4" i="3"/>
  <c r="H4" i="3"/>
  <c r="E4" i="3"/>
  <c r="B14" i="3" l="1"/>
  <c r="H44" i="3"/>
  <c r="B10" i="3"/>
  <c r="B5" i="3"/>
  <c r="B13" i="3"/>
  <c r="H46" i="3"/>
  <c r="B46" i="3"/>
  <c r="K29" i="3"/>
  <c r="K12" i="3"/>
  <c r="E31" i="3"/>
  <c r="H31" i="3"/>
  <c r="B44" i="3"/>
  <c r="K31" i="3"/>
  <c r="H14" i="3"/>
  <c r="E29" i="3"/>
  <c r="K14" i="3"/>
  <c r="E12" i="3"/>
  <c r="H12" i="3"/>
  <c r="E14" i="3"/>
  <c r="E44" i="3"/>
  <c r="E46" i="3"/>
  <c r="H29" i="3"/>
  <c r="B29" i="3"/>
  <c r="B12" i="3"/>
  <c r="B31" i="3"/>
  <c r="B16" i="3" l="1"/>
  <c r="B1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Arnav Jain</author>
  </authors>
  <commentList>
    <comment ref="K3" authorId="0" shapeId="0" xr:uid="{B6844E48-21E7-4497-B039-7D4EBF603A18}">
      <text>
        <r>
          <rPr>
            <b/>
            <sz val="9"/>
            <color indexed="81"/>
            <rFont val="Tahoma"/>
            <family val="2"/>
          </rPr>
          <t>Arnav Jain:</t>
        </r>
        <r>
          <rPr>
            <sz val="9"/>
            <color indexed="81"/>
            <rFont val="Tahoma"/>
            <family val="2"/>
          </rPr>
          <t xml:space="preserve">
5 slots reduced from this batch to accommodate the JDP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Arnav</author>
  </authors>
  <commentList>
    <comment ref="B4" authorId="0" shapeId="0" xr:uid="{BE70FF52-756E-403F-A71E-91D417B9E0C3}">
      <text>
        <r>
          <rPr>
            <b/>
            <sz val="9"/>
            <color indexed="81"/>
            <rFont val="Tahoma"/>
            <family val="2"/>
          </rPr>
          <t>Arnav:</t>
        </r>
        <r>
          <rPr>
            <sz val="9"/>
            <color indexed="81"/>
            <rFont val="Tahoma"/>
            <family val="2"/>
          </rPr>
          <t xml:space="preserve">
WKND Coaching = 6000</t>
        </r>
      </text>
    </comment>
  </commentList>
</comments>
</file>

<file path=xl/sharedStrings.xml><?xml version="1.0" encoding="utf-8"?>
<sst xmlns="http://schemas.openxmlformats.org/spreadsheetml/2006/main" count="674" uniqueCount="269">
  <si>
    <t>Court 3</t>
  </si>
  <si>
    <t>Court 3 - Advance Yellow Ball - 4:00 to 6pm</t>
  </si>
  <si>
    <t>Sr No</t>
  </si>
  <si>
    <t>Name</t>
  </si>
  <si>
    <t>ADV</t>
  </si>
  <si>
    <t>Aarush Khanna</t>
  </si>
  <si>
    <t>HPP</t>
  </si>
  <si>
    <t>Aadvik Khanna</t>
  </si>
  <si>
    <t>Thiyaan Manik</t>
  </si>
  <si>
    <t>Court 4</t>
  </si>
  <si>
    <t>Court 4 - Advance Yellow Ball - 4:00 to 6pm</t>
  </si>
  <si>
    <t>Kimaya Katyal</t>
  </si>
  <si>
    <t>JDP</t>
  </si>
  <si>
    <t>Dev Karnik</t>
  </si>
  <si>
    <t>GREEN</t>
  </si>
  <si>
    <t>Court 5</t>
  </si>
  <si>
    <t>Court 5 - Advance Yellow Balll - 3:30 to 5:30pm</t>
  </si>
  <si>
    <t>Aalya Saini</t>
  </si>
  <si>
    <t>Siddharth Dsouza</t>
  </si>
  <si>
    <t>Hrivaan Mehta</t>
  </si>
  <si>
    <t>Krisha Desai</t>
  </si>
  <si>
    <t>Court 6</t>
  </si>
  <si>
    <t>Arjun Arya</t>
  </si>
  <si>
    <t>Sohana Chandanani</t>
  </si>
  <si>
    <t>Meera Vivek</t>
  </si>
  <si>
    <t>Aarav Heble</t>
  </si>
  <si>
    <t>Shaurya Kothari</t>
  </si>
  <si>
    <t>Alyssa Modawalla</t>
  </si>
  <si>
    <t>INT</t>
  </si>
  <si>
    <t>Court 4 - Adults 6:30 to 7:30am</t>
  </si>
  <si>
    <t>Court 4 - Intermediate Yellow Ball - 5:00 to 6:00pm</t>
  </si>
  <si>
    <t>Prasanth Kandoi</t>
  </si>
  <si>
    <t>Aksania Atal</t>
  </si>
  <si>
    <t>Arjun Choudhary</t>
  </si>
  <si>
    <t>Ahaan Kewalramani</t>
  </si>
  <si>
    <t>Vrahad Arora</t>
  </si>
  <si>
    <t>Ivanka Chouhan</t>
  </si>
  <si>
    <t>Amara Yalla</t>
  </si>
  <si>
    <t>Kiara Shah</t>
  </si>
  <si>
    <t>Shivya Poddar</t>
  </si>
  <si>
    <t>Academy Analysis</t>
  </si>
  <si>
    <t>Advance Class Analysis</t>
  </si>
  <si>
    <t>Intermediate Class Analysis</t>
  </si>
  <si>
    <t>Adults Class Analysis</t>
  </si>
  <si>
    <t>Total Slots MWF</t>
  </si>
  <si>
    <t>Total Advance Class MWF</t>
  </si>
  <si>
    <t>Total Intermediate Class MWF</t>
  </si>
  <si>
    <t>Total Adults Class MWF</t>
  </si>
  <si>
    <t>Total Slots TTS</t>
  </si>
  <si>
    <t>Total Advance Class TTS</t>
  </si>
  <si>
    <t>Total Intermediate Class TTS</t>
  </si>
  <si>
    <t>Total Adults Class TTS</t>
  </si>
  <si>
    <t>Total Slots Available All Days</t>
  </si>
  <si>
    <t>Total Slots Booked MWF</t>
  </si>
  <si>
    <t>Total Slots Booked TTS</t>
  </si>
  <si>
    <t>Total Booked Slots</t>
  </si>
  <si>
    <t>Total Slots Open MWF</t>
  </si>
  <si>
    <t>Total Slots Open TTS</t>
  </si>
  <si>
    <t>Total Open Slots</t>
  </si>
  <si>
    <t>Occupancy %</t>
  </si>
  <si>
    <t>Green Ball Class Analysis</t>
  </si>
  <si>
    <t>Orange Ball Class Analysis</t>
  </si>
  <si>
    <t>Red Ball Class Analysis</t>
  </si>
  <si>
    <t>Junior Development Program Analysis</t>
  </si>
  <si>
    <t>Total Green Ball Class MWF</t>
  </si>
  <si>
    <t>Total Orange Ball Class MWF</t>
  </si>
  <si>
    <t>Total Red Ball Class MWF</t>
  </si>
  <si>
    <t>Total JDP Class MWF</t>
  </si>
  <si>
    <t>Total Green Ball Class TTS</t>
  </si>
  <si>
    <t>Total Orange Ball Class TTS</t>
  </si>
  <si>
    <t>Total Red Ball Class TTS</t>
  </si>
  <si>
    <t>Total JDP Class TTS</t>
  </si>
  <si>
    <t>High Performance Program Analysis</t>
  </si>
  <si>
    <t>Total HPP Class MWF</t>
  </si>
  <si>
    <t>Total HPP Class TTS</t>
  </si>
  <si>
    <t xml:space="preserve"> Court 6 - Fitness - 5:30 to 6:15pm</t>
  </si>
  <si>
    <t xml:space="preserve"> Court 6 - Fitness - 6:15pm to 7:15pm</t>
  </si>
  <si>
    <t>Siddhanth Dsouza</t>
  </si>
  <si>
    <t>Hirvaan Mehta</t>
  </si>
  <si>
    <t>Fitness Program Analysis</t>
  </si>
  <si>
    <t>Total Slots on MWF</t>
  </si>
  <si>
    <t>Total Slots on TTS</t>
  </si>
  <si>
    <t>Alyza Jhaveri</t>
  </si>
  <si>
    <t>Arjun  Arya</t>
  </si>
  <si>
    <t>2:30pm</t>
  </si>
  <si>
    <t>3:30pm</t>
  </si>
  <si>
    <t>U8</t>
  </si>
  <si>
    <t>Age</t>
  </si>
  <si>
    <t>Sasha Saini</t>
  </si>
  <si>
    <t>8+</t>
  </si>
  <si>
    <t>Weekend Coaching Program Analysis</t>
  </si>
  <si>
    <t>Total Slots at 2:30pm</t>
  </si>
  <si>
    <t>Total Slots at 3:30pm</t>
  </si>
  <si>
    <t>Total Slots Sat &amp; Sun</t>
  </si>
  <si>
    <t>Total Slots Booked Sat &amp; Sun</t>
  </si>
  <si>
    <t>Total Slots Open Sat &amp; Sun</t>
  </si>
  <si>
    <t>Court 5 - Orange Ball - 5:30 to 6:15pm</t>
  </si>
  <si>
    <t>Riddhima Shah</t>
  </si>
  <si>
    <t>Court 5 - Advance 6am To 8am</t>
  </si>
  <si>
    <t>Abir Sukhani - GUEST</t>
  </si>
  <si>
    <t>Court 4 - Private Coaching - 6 to 7am</t>
  </si>
  <si>
    <t>Court 4 - Private Coaching - 7 to 8am</t>
  </si>
  <si>
    <t>Court 4 - Private Coaching - 8 to 9am</t>
  </si>
  <si>
    <t>Court 4 - Private Coaching - 9 to 10am</t>
  </si>
  <si>
    <t>Court 4 Private Coaching - 6-7pm</t>
  </si>
  <si>
    <t>Court 4 - Private Coaching - 7 to 8pm</t>
  </si>
  <si>
    <t>Court 4 - Private Coaching - 8 to 9pm</t>
  </si>
  <si>
    <t>Monday</t>
  </si>
  <si>
    <t>R Suresh - Jagdish</t>
  </si>
  <si>
    <t>Arhaan Sanghvi - JDP</t>
  </si>
  <si>
    <t>Wednesday</t>
  </si>
  <si>
    <t>Friday</t>
  </si>
  <si>
    <t>Yuvaan Bajaj - GUEST</t>
  </si>
  <si>
    <t>Court 5 - Private Coaching - 6 to 7am</t>
  </si>
  <si>
    <t>Court 5 - Private Coaching - 7 to 8am</t>
  </si>
  <si>
    <t>Court 5 - Private Coaching - 8 to 9am</t>
  </si>
  <si>
    <t>Court 5 - Private Coaching - 9 to 10am</t>
  </si>
  <si>
    <t>Court 5- Private Coaching - 7:15 to 8:15pm</t>
  </si>
  <si>
    <t>Court 5- Private Coaching - 8:15 to 9:15pm</t>
  </si>
  <si>
    <t>Aarush Shah - Jagdish</t>
  </si>
  <si>
    <t>Aarush Sanghvi (Tue, Fri)</t>
  </si>
  <si>
    <t>Court 6 - Private Coaching - 6 to 7am</t>
  </si>
  <si>
    <t>Court 6 - Private Coaching - 7 to 8am</t>
  </si>
  <si>
    <t>Alina Yalla (Mn, Wed, Thu)</t>
  </si>
  <si>
    <t>Ananya Dodhia</t>
  </si>
  <si>
    <t>Court 3- Private Coaching -2:30 to 3:30pm</t>
  </si>
  <si>
    <t>Court 3- Private Coaching -3:30 to 4:30pm</t>
  </si>
  <si>
    <t>Tuesday</t>
  </si>
  <si>
    <t>Thursday</t>
  </si>
  <si>
    <t>Saturday</t>
  </si>
  <si>
    <t>Court 4- Private Coaching -2:30 to 3:30pm</t>
  </si>
  <si>
    <t>Court 4- Private Coaching -3:30 to 5pm</t>
  </si>
  <si>
    <t>Inez Mehra (Thu, Fri, Sat)</t>
  </si>
  <si>
    <t>Court 6- Private Coaching - 7 to 8am</t>
  </si>
  <si>
    <t>Court 6- Private Coaching - 8 to 9am</t>
  </si>
  <si>
    <t>Aroush Mehta</t>
  </si>
  <si>
    <t>Aarav Chandra</t>
  </si>
  <si>
    <t>Court 4 - Private Coaching - 7:30 to 8:30am</t>
  </si>
  <si>
    <t>Court 4 - Private Coaching - 8:30am to 10am</t>
  </si>
  <si>
    <t>Court 4 - Private Coaching - 6 to 7pm</t>
  </si>
  <si>
    <t>Court 5- Private Coaching - 6 to 7pm</t>
  </si>
  <si>
    <t>Court 5 - Private Coaching - 7 to 8pm</t>
  </si>
  <si>
    <t>Court 5 - Private Coaching - 8 to 9pm</t>
  </si>
  <si>
    <t>Vivaan Lodha - Jagdish</t>
  </si>
  <si>
    <t>Ayaan Sheth</t>
  </si>
  <si>
    <t>Ziana Vora</t>
  </si>
  <si>
    <t>Arya Mehta</t>
  </si>
  <si>
    <t>Court 2</t>
  </si>
  <si>
    <t>Court 2 - Advance Yellow Ball - 3:30 to 5:30pm</t>
  </si>
  <si>
    <t>Kaisha Mehta</t>
  </si>
  <si>
    <t>`</t>
  </si>
  <si>
    <t>Yashna &amp; Shikha - Karan</t>
  </si>
  <si>
    <t>Ahaan C - Sunil</t>
  </si>
  <si>
    <t>Ananya Rajani</t>
  </si>
  <si>
    <t>Neil Shetty - Nanu</t>
  </si>
  <si>
    <t>Hriday Gattani - Jagdish</t>
  </si>
  <si>
    <t>Aarshiv Karla</t>
  </si>
  <si>
    <t>Raina S - Sunil</t>
  </si>
  <si>
    <t>Aveer Vasant</t>
  </si>
  <si>
    <t>Vihaan Vasant</t>
  </si>
  <si>
    <t>Ivana Ganeriwal</t>
  </si>
  <si>
    <t>Shivan Chauhan</t>
  </si>
  <si>
    <t>Prashi Iyer - GUEST</t>
  </si>
  <si>
    <t>Tanuj Gupte - GUEST</t>
  </si>
  <si>
    <t>Shivaay Ruia - GUEST</t>
  </si>
  <si>
    <t>Zayn Winston</t>
  </si>
  <si>
    <t>Aveera Rathod</t>
  </si>
  <si>
    <t>Agastya Singh</t>
  </si>
  <si>
    <t>Arjun Shah</t>
  </si>
  <si>
    <t>Kavir Chopra</t>
  </si>
  <si>
    <t>Shauraya Sekhani</t>
  </si>
  <si>
    <t>Arhaan Dutt</t>
  </si>
  <si>
    <t>Ronak Aggarwal - Jagdish</t>
  </si>
  <si>
    <t>Isha Dave - Jagdish</t>
  </si>
  <si>
    <t>Ayaan Salot</t>
  </si>
  <si>
    <t>Zahaan Sachdeva</t>
  </si>
  <si>
    <t>Aryaveer Rathod</t>
  </si>
  <si>
    <t>Divyansh Bhatija</t>
  </si>
  <si>
    <t>Saba - Anil</t>
  </si>
  <si>
    <t>Arun N - Jagdish</t>
  </si>
  <si>
    <t>Kianna Jain</t>
  </si>
  <si>
    <t>Parth Mehta</t>
  </si>
  <si>
    <t>Vivaan Oza</t>
  </si>
  <si>
    <t>Anaiza Jhaveri</t>
  </si>
  <si>
    <t>Naavya Desai (1.5 hours)</t>
  </si>
  <si>
    <t>Kyra Golcha - GUEST</t>
  </si>
  <si>
    <t>Aditya Kapadia</t>
  </si>
  <si>
    <t>Ananya Kapadia</t>
  </si>
  <si>
    <t>Court 6 - Fitness - 5 to 6pm</t>
  </si>
  <si>
    <t>Court 6 - Intermediate Green Ball - 4 to 5pm</t>
  </si>
  <si>
    <t>Neil Baliga - GUEST</t>
  </si>
  <si>
    <t>Advait Parekh - GUEST</t>
  </si>
  <si>
    <t>Vansh Katari - GUEST</t>
  </si>
  <si>
    <t>Rada Saran Koshcheeva</t>
  </si>
  <si>
    <t>Prabhit Kanakia</t>
  </si>
  <si>
    <t>Maahi Pabari</t>
  </si>
  <si>
    <t>Dhven Mukhi</t>
  </si>
  <si>
    <t xml:space="preserve"> </t>
  </si>
  <si>
    <t>Court 2 - Private Coaching - 6 to 7am</t>
  </si>
  <si>
    <t xml:space="preserve">HPP - Aarush &amp; Aadvik </t>
  </si>
  <si>
    <t>Court 3 - Private Coaching - 6 to 7am</t>
  </si>
  <si>
    <t>JDP - Siddhanth D</t>
  </si>
  <si>
    <t>Arjun Moorthy</t>
  </si>
  <si>
    <t>Sanvi M - Anil</t>
  </si>
  <si>
    <t>JDP - Hrivaan M</t>
  </si>
  <si>
    <t>JDP - Dev K</t>
  </si>
  <si>
    <t>Shaktie S - Karan</t>
  </si>
  <si>
    <t>Vivaan M - JDP</t>
  </si>
  <si>
    <t>Amaira C - Anil</t>
  </si>
  <si>
    <t>Devin Pittan - GUEST</t>
  </si>
  <si>
    <t>Court 5 - Private Coaching - 6:15 to 7:15pm</t>
  </si>
  <si>
    <t>Ahaan K - Sunil</t>
  </si>
  <si>
    <t>Kabir Ludhani - GUEST</t>
  </si>
  <si>
    <t>Samika Khanna - Arnav</t>
  </si>
  <si>
    <t>JDP - Arhaan D</t>
  </si>
  <si>
    <t>JDP - Kimaya K</t>
  </si>
  <si>
    <t>Vivaan Mehra</t>
  </si>
  <si>
    <t>Mishika - Nanu</t>
  </si>
  <si>
    <t>Aarav Sanghvi</t>
  </si>
  <si>
    <t>Saanvi Gupta</t>
  </si>
  <si>
    <t>Zain Guzman</t>
  </si>
  <si>
    <t>JDP - Arjun A</t>
  </si>
  <si>
    <t>Agastya Kalra</t>
  </si>
  <si>
    <t>Avyaan Barot</t>
  </si>
  <si>
    <t>Devin Pittan</t>
  </si>
  <si>
    <t>HPP - Thiyaan M</t>
  </si>
  <si>
    <t>Aarohi Singhal</t>
  </si>
  <si>
    <t>Amaira Chauhan</t>
  </si>
  <si>
    <t>Khalil B - Nanu</t>
  </si>
  <si>
    <t>Maitri Rajani - Anil</t>
  </si>
  <si>
    <t>Arhaan Sanghvi</t>
  </si>
  <si>
    <t>Kaira Vajifdar</t>
  </si>
  <si>
    <t>Court 6- Private Coaching - 6 to 7am</t>
  </si>
  <si>
    <t>Mihail M - JDP</t>
  </si>
  <si>
    <t>Ariaan Khandelwal</t>
  </si>
  <si>
    <t>Viana Shah</t>
  </si>
  <si>
    <t>Anahat Goenka</t>
  </si>
  <si>
    <t>Avish Shah</t>
  </si>
  <si>
    <t>Nihira Desai</t>
  </si>
  <si>
    <t>Court 6 - Advance Green Ball - 3:30 to 5:30pm</t>
  </si>
  <si>
    <t xml:space="preserve"> Court 6 - Red Ball - 5:30 to 6:15pm</t>
  </si>
  <si>
    <t>Court 3 - Intermediate Yellow Ball - 4:30 to 5pm</t>
  </si>
  <si>
    <t>Court 4 - Intermediate Yellow Ball - 3:30 to 5pm</t>
  </si>
  <si>
    <t>Court 5 - Beginner Green Ball - 5:00 to 6pm</t>
  </si>
  <si>
    <t>Court 6 - Red Ball - 5pm to 5:45pm</t>
  </si>
  <si>
    <t>Base Salary</t>
  </si>
  <si>
    <t>1-1 Per Hour</t>
  </si>
  <si>
    <t>Extra Time/Hour</t>
  </si>
  <si>
    <t>Duty</t>
  </si>
  <si>
    <t>Desingation</t>
  </si>
  <si>
    <t>Santosh</t>
  </si>
  <si>
    <t>Full Time</t>
  </si>
  <si>
    <t>Senior Tennis Coach</t>
  </si>
  <si>
    <t>Anil</t>
  </si>
  <si>
    <t>Evening Only</t>
  </si>
  <si>
    <t>Jagdish</t>
  </si>
  <si>
    <t>Sunil</t>
  </si>
  <si>
    <t>Morning Only</t>
  </si>
  <si>
    <t>Junior Tennis Coach</t>
  </si>
  <si>
    <t>Karan</t>
  </si>
  <si>
    <t>Karim</t>
  </si>
  <si>
    <t>Vinod D</t>
  </si>
  <si>
    <t>Nanu</t>
  </si>
  <si>
    <t>Team One Aim</t>
  </si>
  <si>
    <t>Fitness Team</t>
  </si>
  <si>
    <t>Parth Kalke</t>
  </si>
  <si>
    <t>Part Time</t>
  </si>
  <si>
    <t>Head of Sports Operations</t>
  </si>
  <si>
    <t>*Only 1 paid holiday per month for Tennis Coaches. Addtional holidays salary per day is deducted. No such rule for Fitness Team and Operations Head as of 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</si>
</sst>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009]\ * #,##0_ ;_ [$₹-4009]\ * \-#,##0_ ;_ [$₹-4009]\ * &quot;-&quot;??_ ;_ @_ "/>
    <numFmt numFmtId="165" formatCode="_ [$₹-4009]\ * #,##0.00_ ;_ [$₹-4009]\ * \-#,##0.00_ ;_ [$₹-4009]\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49" fontId="5" fillId="0" borderId="0" xfId="0" applyNumberFormat="1" applyFont="1"/>
    <xf numFmtId="49" fontId="0" fillId="0" borderId="0" xfId="0" applyNumberFormat="1"/>
    <xf numFmtId="16" fontId="0" fillId="0" borderId="0" xfId="0" applyNumberFormat="1"/>
    <xf numFmtId="0" fontId="2" fillId="0" borderId="0" xfId="0" applyFont="1"/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0" xfId="0" applyFont="1"/>
    <xf numFmtId="0" fontId="3" fillId="2" borderId="0" xfId="0" applyFont="1" applyFill="1"/>
    <xf numFmtId="9" fontId="3" fillId="2" borderId="0" xfId="1" applyFont="1" applyFill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/>
    </xf>
    <xf numFmtId="0" fontId="0" fillId="6" borderId="0" xfId="0" applyFill="1"/>
    <xf numFmtId="0" fontId="0" fillId="8" borderId="0" xfId="0" applyFill="1"/>
    <xf numFmtId="0" fontId="0" fillId="2" borderId="0" xfId="0" applyFill="1"/>
    <xf numFmtId="0" fontId="0" fillId="2" borderId="0" xfId="0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164" fontId="3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30A8C-F5BB-4B27-A3FE-D05050334F33}">
  <dimension ref="A1:AJ55"/>
  <sheetViews>
    <sheetView topLeftCell="K1" zoomScale="60" zoomScaleNormal="60" workbookViewId="0">
      <selection activeCell="K1" sqref="A1:XFD1048576"/>
    </sheetView>
  </sheetViews>
  <sheetFormatPr defaultRowHeight="14.4" x14ac:dyDescent="0.3"/>
  <cols>
    <col min="2" max="2" width="13.33203125" customWidth="1"/>
    <col min="3" max="3" width="26.5546875" bestFit="1" customWidth="1"/>
    <col min="4" max="4" width="24.88671875" style="16" bestFit="1" customWidth="1"/>
    <col min="5" max="5" width="10" bestFit="1" customWidth="1"/>
    <col min="7" max="7" width="17.6640625" bestFit="1" customWidth="1"/>
    <col min="8" max="8" width="29.5546875" bestFit="1" customWidth="1"/>
    <col min="10" max="10" width="11.44140625" customWidth="1"/>
    <col min="11" max="11" width="23.33203125" customWidth="1"/>
    <col min="12" max="12" width="25" bestFit="1" customWidth="1"/>
    <col min="14" max="14" width="12.44140625" customWidth="1"/>
    <col min="15" max="15" width="18.33203125" bestFit="1" customWidth="1"/>
    <col min="16" max="16" width="21.5546875" bestFit="1" customWidth="1"/>
    <col min="17" max="17" width="8.88671875" style="19"/>
    <col min="19" max="19" width="24" bestFit="1" customWidth="1"/>
    <col min="20" max="20" width="15.88671875" customWidth="1"/>
    <col min="23" max="23" width="27.109375" bestFit="1" customWidth="1"/>
    <col min="24" max="24" width="29.5546875" bestFit="1" customWidth="1"/>
    <col min="27" max="27" width="21.44140625" bestFit="1" customWidth="1"/>
    <col min="28" max="28" width="24.77734375" bestFit="1" customWidth="1"/>
    <col min="30" max="30" width="6.5546875" bestFit="1" customWidth="1"/>
    <col min="31" max="31" width="12.88671875" bestFit="1" customWidth="1"/>
    <col min="32" max="32" width="24.21875" bestFit="1" customWidth="1"/>
    <col min="34" max="34" width="6.5546875" bestFit="1" customWidth="1"/>
    <col min="35" max="35" width="12.88671875" bestFit="1" customWidth="1"/>
    <col min="36" max="36" width="22.5546875" customWidth="1"/>
  </cols>
  <sheetData>
    <row r="1" spans="1:32" x14ac:dyDescent="0.3">
      <c r="A1" s="23" t="s">
        <v>147</v>
      </c>
      <c r="D1" s="16" t="s">
        <v>197</v>
      </c>
      <c r="R1" s="22" t="s">
        <v>148</v>
      </c>
      <c r="S1" s="22"/>
      <c r="T1" s="22"/>
    </row>
    <row r="2" spans="1:32" x14ac:dyDescent="0.3">
      <c r="A2" s="23"/>
      <c r="B2" s="25" t="s">
        <v>198</v>
      </c>
      <c r="C2" s="25"/>
      <c r="D2" s="25"/>
      <c r="R2" t="s">
        <v>2</v>
      </c>
      <c r="S2" t="s">
        <v>3</v>
      </c>
      <c r="T2" s="16"/>
    </row>
    <row r="3" spans="1:32" x14ac:dyDescent="0.3">
      <c r="A3" s="23"/>
      <c r="B3" t="s">
        <v>2</v>
      </c>
      <c r="C3" t="s">
        <v>3</v>
      </c>
      <c r="R3">
        <v>1</v>
      </c>
      <c r="S3" t="s">
        <v>149</v>
      </c>
      <c r="T3" s="17" t="s">
        <v>12</v>
      </c>
    </row>
    <row r="4" spans="1:32" x14ac:dyDescent="0.3">
      <c r="A4" s="23"/>
      <c r="B4">
        <v>1</v>
      </c>
      <c r="C4" t="s">
        <v>107</v>
      </c>
      <c r="D4" s="17"/>
      <c r="R4">
        <v>2</v>
      </c>
      <c r="S4" s="2" t="s">
        <v>171</v>
      </c>
      <c r="T4" s="16" t="s">
        <v>6</v>
      </c>
    </row>
    <row r="5" spans="1:32" x14ac:dyDescent="0.3">
      <c r="A5" s="23"/>
      <c r="B5">
        <v>2</v>
      </c>
      <c r="C5" t="s">
        <v>110</v>
      </c>
      <c r="D5" s="16" t="s">
        <v>199</v>
      </c>
      <c r="R5">
        <v>3</v>
      </c>
      <c r="S5" t="s">
        <v>18</v>
      </c>
      <c r="T5" s="2" t="s">
        <v>12</v>
      </c>
    </row>
    <row r="6" spans="1:32" x14ac:dyDescent="0.3">
      <c r="A6" s="23"/>
      <c r="B6">
        <v>3</v>
      </c>
      <c r="C6" t="s">
        <v>111</v>
      </c>
      <c r="D6" s="16" t="s">
        <v>199</v>
      </c>
      <c r="R6">
        <v>4</v>
      </c>
      <c r="S6" t="s">
        <v>19</v>
      </c>
      <c r="T6" s="2" t="s">
        <v>12</v>
      </c>
    </row>
    <row r="7" spans="1:32" x14ac:dyDescent="0.3">
      <c r="A7" s="23"/>
    </row>
    <row r="8" spans="1:32" x14ac:dyDescent="0.3">
      <c r="A8" s="23" t="s">
        <v>0</v>
      </c>
      <c r="B8" s="25" t="s">
        <v>200</v>
      </c>
      <c r="C8" s="25"/>
      <c r="D8" s="25"/>
      <c r="O8" t="s">
        <v>150</v>
      </c>
      <c r="R8" s="22" t="s">
        <v>1</v>
      </c>
      <c r="S8" s="22"/>
      <c r="T8" s="22"/>
    </row>
    <row r="9" spans="1:32" x14ac:dyDescent="0.3">
      <c r="A9" s="23"/>
      <c r="B9" t="s">
        <v>2</v>
      </c>
      <c r="C9" t="s">
        <v>3</v>
      </c>
      <c r="N9" s="24"/>
      <c r="O9" s="24"/>
      <c r="P9" s="24"/>
      <c r="R9" t="s">
        <v>2</v>
      </c>
      <c r="S9" t="s">
        <v>3</v>
      </c>
      <c r="T9" s="16"/>
    </row>
    <row r="10" spans="1:32" x14ac:dyDescent="0.3">
      <c r="A10" s="23"/>
      <c r="B10">
        <v>1</v>
      </c>
      <c r="C10" t="s">
        <v>107</v>
      </c>
      <c r="D10" s="17"/>
      <c r="R10">
        <v>1</v>
      </c>
      <c r="S10" s="2" t="s">
        <v>5</v>
      </c>
      <c r="T10" s="16" t="s">
        <v>6</v>
      </c>
    </row>
    <row r="11" spans="1:32" x14ac:dyDescent="0.3">
      <c r="A11" s="23"/>
      <c r="B11">
        <v>2</v>
      </c>
      <c r="C11" t="s">
        <v>110</v>
      </c>
      <c r="D11" t="s">
        <v>201</v>
      </c>
      <c r="O11" s="4"/>
      <c r="P11" s="4"/>
      <c r="R11">
        <v>2</v>
      </c>
      <c r="S11" s="2" t="s">
        <v>7</v>
      </c>
      <c r="T11" s="16" t="s">
        <v>6</v>
      </c>
    </row>
    <row r="12" spans="1:32" x14ac:dyDescent="0.3">
      <c r="A12" s="23"/>
      <c r="B12">
        <v>3</v>
      </c>
      <c r="C12" t="s">
        <v>111</v>
      </c>
      <c r="D12" t="s">
        <v>201</v>
      </c>
      <c r="O12" s="4"/>
      <c r="P12" s="4"/>
      <c r="R12">
        <v>3</v>
      </c>
      <c r="S12" s="4" t="s">
        <v>8</v>
      </c>
      <c r="T12" s="17" t="s">
        <v>6</v>
      </c>
    </row>
    <row r="13" spans="1:32" x14ac:dyDescent="0.3">
      <c r="A13" s="23"/>
      <c r="O13" s="4"/>
      <c r="P13" s="4"/>
      <c r="R13">
        <v>4</v>
      </c>
      <c r="S13" t="s">
        <v>202</v>
      </c>
      <c r="T13" s="16" t="s">
        <v>4</v>
      </c>
    </row>
    <row r="14" spans="1:32" x14ac:dyDescent="0.3">
      <c r="A14" s="23"/>
      <c r="O14" s="4"/>
      <c r="P14" s="4"/>
    </row>
    <row r="15" spans="1:32" x14ac:dyDescent="0.3">
      <c r="A15" s="23" t="s">
        <v>9</v>
      </c>
      <c r="B15" s="25" t="s">
        <v>100</v>
      </c>
      <c r="C15" s="25"/>
      <c r="D15" s="25"/>
      <c r="F15" s="25" t="s">
        <v>101</v>
      </c>
      <c r="G15" s="25"/>
      <c r="H15" s="25"/>
      <c r="J15" s="25" t="s">
        <v>102</v>
      </c>
      <c r="K15" s="25"/>
      <c r="L15" s="25"/>
      <c r="N15" s="25" t="s">
        <v>103</v>
      </c>
      <c r="O15" s="25"/>
      <c r="P15" s="25"/>
      <c r="R15" s="22" t="s">
        <v>10</v>
      </c>
      <c r="S15" s="22"/>
      <c r="T15" s="22"/>
      <c r="V15" s="25" t="s">
        <v>104</v>
      </c>
      <c r="W15" s="25"/>
      <c r="X15" s="25"/>
      <c r="Z15" s="25" t="s">
        <v>105</v>
      </c>
      <c r="AA15" s="25"/>
      <c r="AB15" s="25"/>
      <c r="AD15" s="20" t="s">
        <v>106</v>
      </c>
      <c r="AE15" s="20"/>
      <c r="AF15" s="20"/>
    </row>
    <row r="16" spans="1:32" x14ac:dyDescent="0.3">
      <c r="A16" s="23"/>
      <c r="B16" t="s">
        <v>2</v>
      </c>
      <c r="C16" t="s">
        <v>3</v>
      </c>
      <c r="F16" t="s">
        <v>2</v>
      </c>
      <c r="G16" t="s">
        <v>3</v>
      </c>
      <c r="H16" s="16"/>
      <c r="J16" t="s">
        <v>2</v>
      </c>
      <c r="K16" t="s">
        <v>3</v>
      </c>
      <c r="L16" s="16"/>
      <c r="N16" t="s">
        <v>2</v>
      </c>
      <c r="O16" t="s">
        <v>3</v>
      </c>
      <c r="P16" s="16"/>
      <c r="R16" t="s">
        <v>2</v>
      </c>
      <c r="S16" t="s">
        <v>3</v>
      </c>
      <c r="T16" s="16"/>
      <c r="V16" t="s">
        <v>2</v>
      </c>
      <c r="W16" t="s">
        <v>3</v>
      </c>
      <c r="Z16" t="s">
        <v>2</v>
      </c>
      <c r="AA16" t="s">
        <v>3</v>
      </c>
      <c r="AB16" s="16"/>
      <c r="AD16" t="s">
        <v>2</v>
      </c>
      <c r="AE16" t="s">
        <v>3</v>
      </c>
      <c r="AF16" s="16"/>
    </row>
    <row r="17" spans="1:36" ht="14.4" customHeight="1" x14ac:dyDescent="0.3">
      <c r="A17" s="23"/>
      <c r="B17">
        <v>1</v>
      </c>
      <c r="C17" t="s">
        <v>107</v>
      </c>
      <c r="D17" s="17" t="s">
        <v>108</v>
      </c>
      <c r="F17">
        <v>1</v>
      </c>
      <c r="G17" t="s">
        <v>107</v>
      </c>
      <c r="J17">
        <v>1</v>
      </c>
      <c r="K17" t="s">
        <v>107</v>
      </c>
      <c r="L17" s="17"/>
      <c r="N17">
        <v>1</v>
      </c>
      <c r="O17" t="s">
        <v>107</v>
      </c>
      <c r="P17" s="17"/>
      <c r="R17">
        <v>1</v>
      </c>
      <c r="S17" t="s">
        <v>99</v>
      </c>
      <c r="T17" s="17" t="s">
        <v>4</v>
      </c>
      <c r="V17">
        <v>1</v>
      </c>
      <c r="W17" t="s">
        <v>107</v>
      </c>
      <c r="X17" t="s">
        <v>109</v>
      </c>
      <c r="Z17">
        <v>1</v>
      </c>
      <c r="AA17" t="s">
        <v>107</v>
      </c>
      <c r="AB17" t="s">
        <v>203</v>
      </c>
      <c r="AD17">
        <v>1</v>
      </c>
      <c r="AE17" t="s">
        <v>107</v>
      </c>
      <c r="AF17" s="17"/>
    </row>
    <row r="18" spans="1:36" x14ac:dyDescent="0.3">
      <c r="A18" s="23"/>
      <c r="B18">
        <v>2</v>
      </c>
      <c r="C18" t="s">
        <v>110</v>
      </c>
      <c r="D18" t="s">
        <v>204</v>
      </c>
      <c r="F18">
        <v>2</v>
      </c>
      <c r="G18" t="s">
        <v>110</v>
      </c>
      <c r="H18" t="s">
        <v>205</v>
      </c>
      <c r="J18">
        <v>2</v>
      </c>
      <c r="K18" t="s">
        <v>110</v>
      </c>
      <c r="L18" t="s">
        <v>206</v>
      </c>
      <c r="N18">
        <v>2</v>
      </c>
      <c r="O18" t="s">
        <v>110</v>
      </c>
      <c r="R18">
        <v>2</v>
      </c>
      <c r="S18" t="s">
        <v>112</v>
      </c>
      <c r="T18" s="16" t="s">
        <v>4</v>
      </c>
      <c r="V18">
        <v>2</v>
      </c>
      <c r="W18" t="s">
        <v>110</v>
      </c>
      <c r="X18" t="s">
        <v>109</v>
      </c>
      <c r="Z18">
        <v>2</v>
      </c>
      <c r="AA18" t="s">
        <v>110</v>
      </c>
      <c r="AB18" t="s">
        <v>154</v>
      </c>
      <c r="AD18">
        <v>2</v>
      </c>
      <c r="AE18" t="s">
        <v>110</v>
      </c>
    </row>
    <row r="19" spans="1:36" x14ac:dyDescent="0.3">
      <c r="A19" s="23"/>
      <c r="B19">
        <v>3</v>
      </c>
      <c r="C19" t="s">
        <v>111</v>
      </c>
      <c r="D19" t="s">
        <v>204</v>
      </c>
      <c r="F19">
        <v>3</v>
      </c>
      <c r="G19" t="s">
        <v>111</v>
      </c>
      <c r="H19" t="s">
        <v>205</v>
      </c>
      <c r="J19">
        <v>3</v>
      </c>
      <c r="K19" t="s">
        <v>111</v>
      </c>
      <c r="L19" t="s">
        <v>206</v>
      </c>
      <c r="N19">
        <v>3</v>
      </c>
      <c r="O19" t="s">
        <v>111</v>
      </c>
      <c r="R19">
        <v>3</v>
      </c>
      <c r="S19" s="2" t="s">
        <v>190</v>
      </c>
      <c r="T19" s="16" t="s">
        <v>4</v>
      </c>
      <c r="V19">
        <v>2</v>
      </c>
      <c r="W19" t="s">
        <v>111</v>
      </c>
      <c r="X19" t="s">
        <v>207</v>
      </c>
      <c r="Z19">
        <v>3</v>
      </c>
      <c r="AA19" t="s">
        <v>111</v>
      </c>
      <c r="AB19" t="s">
        <v>203</v>
      </c>
      <c r="AD19">
        <v>3</v>
      </c>
      <c r="AE19" t="s">
        <v>111</v>
      </c>
      <c r="AF19" t="s">
        <v>208</v>
      </c>
    </row>
    <row r="20" spans="1:36" x14ac:dyDescent="0.3">
      <c r="A20" s="23"/>
      <c r="R20">
        <v>4</v>
      </c>
      <c r="S20" t="s">
        <v>209</v>
      </c>
      <c r="T20" s="16" t="s">
        <v>12</v>
      </c>
      <c r="V20" s="4"/>
      <c r="W20" s="4"/>
      <c r="X20" s="4"/>
    </row>
    <row r="21" spans="1:36" x14ac:dyDescent="0.3">
      <c r="A21" s="1"/>
      <c r="C21" s="4"/>
      <c r="D21" s="17"/>
      <c r="V21" s="4"/>
      <c r="W21" s="4"/>
      <c r="X21" s="4"/>
    </row>
    <row r="22" spans="1:36" x14ac:dyDescent="0.3">
      <c r="A22" s="1"/>
      <c r="C22" s="4"/>
      <c r="D22" s="17"/>
      <c r="G22" s="4"/>
      <c r="H22" s="7"/>
    </row>
    <row r="23" spans="1:36" x14ac:dyDescent="0.3">
      <c r="A23" s="23" t="s">
        <v>15</v>
      </c>
      <c r="B23" s="25" t="s">
        <v>113</v>
      </c>
      <c r="C23" s="25"/>
      <c r="D23" s="25"/>
      <c r="F23" s="25" t="s">
        <v>114</v>
      </c>
      <c r="G23" s="25"/>
      <c r="H23" s="25"/>
      <c r="J23" s="25" t="s">
        <v>115</v>
      </c>
      <c r="K23" s="25"/>
      <c r="L23" s="25"/>
      <c r="N23" s="25" t="s">
        <v>116</v>
      </c>
      <c r="O23" s="25"/>
      <c r="P23" s="25"/>
      <c r="R23" s="22" t="s">
        <v>16</v>
      </c>
      <c r="S23" s="22"/>
      <c r="T23" s="22"/>
      <c r="V23" s="26" t="s">
        <v>96</v>
      </c>
      <c r="W23" s="26"/>
      <c r="X23" s="26"/>
      <c r="Z23" s="25" t="s">
        <v>210</v>
      </c>
      <c r="AA23" s="25"/>
      <c r="AB23" s="25"/>
      <c r="AD23" s="25" t="s">
        <v>117</v>
      </c>
      <c r="AE23" s="25"/>
      <c r="AF23" s="25"/>
      <c r="AH23" s="25" t="s">
        <v>118</v>
      </c>
      <c r="AI23" s="25"/>
      <c r="AJ23" s="25"/>
    </row>
    <row r="24" spans="1:36" x14ac:dyDescent="0.3">
      <c r="A24" s="23"/>
      <c r="B24" t="s">
        <v>2</v>
      </c>
      <c r="C24" t="s">
        <v>3</v>
      </c>
      <c r="F24" t="s">
        <v>2</v>
      </c>
      <c r="G24" t="s">
        <v>3</v>
      </c>
      <c r="H24" s="16"/>
      <c r="J24" t="s">
        <v>2</v>
      </c>
      <c r="K24" t="s">
        <v>3</v>
      </c>
      <c r="L24" s="16"/>
      <c r="N24" t="s">
        <v>2</v>
      </c>
      <c r="O24" t="s">
        <v>3</v>
      </c>
      <c r="P24" s="16"/>
      <c r="R24" t="s">
        <v>2</v>
      </c>
      <c r="S24" t="s">
        <v>3</v>
      </c>
      <c r="T24" s="16"/>
      <c r="V24" t="s">
        <v>2</v>
      </c>
      <c r="W24" t="s">
        <v>3</v>
      </c>
      <c r="Z24" t="s">
        <v>2</v>
      </c>
      <c r="AA24" t="s">
        <v>3</v>
      </c>
      <c r="AB24" s="16"/>
      <c r="AD24" t="s">
        <v>2</v>
      </c>
      <c r="AE24" t="s">
        <v>3</v>
      </c>
      <c r="AF24" s="16"/>
      <c r="AH24" t="s">
        <v>2</v>
      </c>
      <c r="AI24" t="s">
        <v>3</v>
      </c>
    </row>
    <row r="25" spans="1:36" x14ac:dyDescent="0.3">
      <c r="A25" s="23"/>
      <c r="B25">
        <v>1</v>
      </c>
      <c r="C25" t="s">
        <v>107</v>
      </c>
      <c r="D25" s="17" t="s">
        <v>211</v>
      </c>
      <c r="F25">
        <v>1</v>
      </c>
      <c r="G25" t="s">
        <v>107</v>
      </c>
      <c r="H25" s="17" t="s">
        <v>152</v>
      </c>
      <c r="J25">
        <v>1</v>
      </c>
      <c r="K25" t="s">
        <v>107</v>
      </c>
      <c r="L25" s="17"/>
      <c r="M25" s="8"/>
      <c r="N25">
        <v>1</v>
      </c>
      <c r="O25" t="s">
        <v>107</v>
      </c>
      <c r="P25" s="17"/>
      <c r="R25">
        <v>1</v>
      </c>
      <c r="S25" s="4" t="s">
        <v>212</v>
      </c>
      <c r="T25" s="16" t="s">
        <v>4</v>
      </c>
      <c r="V25">
        <v>1</v>
      </c>
      <c r="W25" t="s">
        <v>17</v>
      </c>
      <c r="X25" t="s">
        <v>123</v>
      </c>
      <c r="Z25">
        <v>1</v>
      </c>
      <c r="AA25" t="s">
        <v>107</v>
      </c>
      <c r="AB25" t="s">
        <v>213</v>
      </c>
      <c r="AD25">
        <v>1</v>
      </c>
      <c r="AE25" t="s">
        <v>107</v>
      </c>
      <c r="AF25" s="17" t="s">
        <v>119</v>
      </c>
      <c r="AH25">
        <v>1</v>
      </c>
      <c r="AI25" t="s">
        <v>107</v>
      </c>
      <c r="AJ25" t="s">
        <v>155</v>
      </c>
    </row>
    <row r="26" spans="1:36" x14ac:dyDescent="0.3">
      <c r="A26" s="23"/>
      <c r="B26">
        <v>2</v>
      </c>
      <c r="C26" t="s">
        <v>110</v>
      </c>
      <c r="D26" s="16" t="s">
        <v>214</v>
      </c>
      <c r="F26">
        <v>2</v>
      </c>
      <c r="G26" t="s">
        <v>110</v>
      </c>
      <c r="H26" t="s">
        <v>215</v>
      </c>
      <c r="J26">
        <v>2</v>
      </c>
      <c r="K26" t="s">
        <v>110</v>
      </c>
      <c r="L26" t="s">
        <v>172</v>
      </c>
      <c r="M26" s="8"/>
      <c r="N26">
        <v>2</v>
      </c>
      <c r="O26" t="s">
        <v>110</v>
      </c>
      <c r="P26" s="17" t="s">
        <v>173</v>
      </c>
      <c r="R26">
        <v>2</v>
      </c>
      <c r="S26" t="s">
        <v>174</v>
      </c>
      <c r="T26" s="16" t="s">
        <v>4</v>
      </c>
      <c r="V26">
        <v>2</v>
      </c>
      <c r="W26" t="s">
        <v>120</v>
      </c>
      <c r="X26" t="s">
        <v>24</v>
      </c>
      <c r="Z26">
        <v>2</v>
      </c>
      <c r="AA26" t="s">
        <v>110</v>
      </c>
      <c r="AB26" t="s">
        <v>213</v>
      </c>
      <c r="AD26">
        <v>2</v>
      </c>
      <c r="AE26" t="s">
        <v>110</v>
      </c>
      <c r="AF26" s="17" t="s">
        <v>119</v>
      </c>
      <c r="AH26">
        <v>2</v>
      </c>
      <c r="AI26" t="s">
        <v>110</v>
      </c>
      <c r="AJ26" t="s">
        <v>155</v>
      </c>
    </row>
    <row r="27" spans="1:36" x14ac:dyDescent="0.3">
      <c r="A27" s="23"/>
      <c r="B27">
        <v>3</v>
      </c>
      <c r="C27" t="s">
        <v>111</v>
      </c>
      <c r="D27" s="16" t="s">
        <v>214</v>
      </c>
      <c r="F27">
        <v>3</v>
      </c>
      <c r="G27" t="s">
        <v>111</v>
      </c>
      <c r="H27" t="s">
        <v>215</v>
      </c>
      <c r="J27">
        <v>3</v>
      </c>
      <c r="K27" t="s">
        <v>111</v>
      </c>
      <c r="L27" t="s">
        <v>172</v>
      </c>
      <c r="M27" s="8"/>
      <c r="N27">
        <v>3</v>
      </c>
      <c r="O27" t="s">
        <v>111</v>
      </c>
      <c r="P27" s="17"/>
      <c r="R27">
        <v>3</v>
      </c>
      <c r="S27" s="2" t="s">
        <v>216</v>
      </c>
      <c r="T27" s="16" t="s">
        <v>4</v>
      </c>
      <c r="V27">
        <v>3</v>
      </c>
      <c r="W27" t="s">
        <v>20</v>
      </c>
      <c r="X27" t="s">
        <v>156</v>
      </c>
      <c r="Z27">
        <v>3</v>
      </c>
      <c r="AA27" t="s">
        <v>111</v>
      </c>
      <c r="AB27" t="s">
        <v>213</v>
      </c>
      <c r="AD27">
        <v>3</v>
      </c>
      <c r="AE27" t="s">
        <v>111</v>
      </c>
      <c r="AF27" t="s">
        <v>217</v>
      </c>
      <c r="AH27">
        <v>3</v>
      </c>
      <c r="AI27" t="s">
        <v>111</v>
      </c>
    </row>
    <row r="28" spans="1:36" x14ac:dyDescent="0.3">
      <c r="A28" s="23"/>
      <c r="M28" s="8"/>
      <c r="R28">
        <v>4</v>
      </c>
      <c r="S28" t="s">
        <v>13</v>
      </c>
      <c r="T28" s="16" t="s">
        <v>12</v>
      </c>
      <c r="V28">
        <v>4</v>
      </c>
      <c r="W28" t="s">
        <v>135</v>
      </c>
      <c r="X28" t="s">
        <v>36</v>
      </c>
      <c r="Z28" s="4"/>
      <c r="AA28" s="6"/>
    </row>
    <row r="29" spans="1:36" x14ac:dyDescent="0.3">
      <c r="A29" s="23"/>
      <c r="M29" s="8"/>
      <c r="V29">
        <v>5</v>
      </c>
      <c r="W29" t="s">
        <v>218</v>
      </c>
      <c r="X29" t="s">
        <v>219</v>
      </c>
      <c r="Z29" s="4"/>
      <c r="AA29" s="6"/>
    </row>
    <row r="30" spans="1:36" x14ac:dyDescent="0.3">
      <c r="A30" s="23"/>
      <c r="M30" s="8"/>
      <c r="S30" s="16"/>
      <c r="V30">
        <v>6</v>
      </c>
      <c r="X30" t="s">
        <v>220</v>
      </c>
      <c r="Z30" s="4"/>
    </row>
    <row r="31" spans="1:36" x14ac:dyDescent="0.3">
      <c r="A31" s="23"/>
      <c r="L31" s="6"/>
    </row>
    <row r="32" spans="1:36" x14ac:dyDescent="0.3">
      <c r="A32" s="23" t="s">
        <v>21</v>
      </c>
      <c r="B32" s="25" t="s">
        <v>121</v>
      </c>
      <c r="C32" s="25"/>
      <c r="D32" s="25"/>
      <c r="F32" s="25" t="s">
        <v>122</v>
      </c>
      <c r="G32" s="25"/>
      <c r="H32" s="25"/>
      <c r="R32" s="21" t="s">
        <v>239</v>
      </c>
      <c r="S32" s="21"/>
      <c r="T32" s="21"/>
      <c r="V32" s="27" t="s">
        <v>240</v>
      </c>
      <c r="W32" s="27"/>
      <c r="X32" s="27"/>
      <c r="Z32" s="19" t="s">
        <v>76</v>
      </c>
      <c r="AA32" s="19"/>
      <c r="AB32" s="19"/>
    </row>
    <row r="33" spans="1:28" x14ac:dyDescent="0.3">
      <c r="A33" s="23"/>
      <c r="B33" t="s">
        <v>2</v>
      </c>
      <c r="C33" t="s">
        <v>3</v>
      </c>
      <c r="F33" t="s">
        <v>2</v>
      </c>
      <c r="G33" t="s">
        <v>3</v>
      </c>
      <c r="H33" s="16"/>
      <c r="R33" t="s">
        <v>2</v>
      </c>
      <c r="S33" t="s">
        <v>3</v>
      </c>
      <c r="T33" s="16"/>
      <c r="V33" t="s">
        <v>2</v>
      </c>
      <c r="W33" t="s">
        <v>3</v>
      </c>
      <c r="Z33" t="s">
        <v>2</v>
      </c>
      <c r="AA33" t="s">
        <v>3</v>
      </c>
    </row>
    <row r="34" spans="1:28" x14ac:dyDescent="0.3">
      <c r="A34" s="23"/>
      <c r="B34">
        <v>1</v>
      </c>
      <c r="C34" t="s">
        <v>107</v>
      </c>
      <c r="D34" s="17" t="s">
        <v>157</v>
      </c>
      <c r="F34">
        <v>1</v>
      </c>
      <c r="G34" t="s">
        <v>107</v>
      </c>
      <c r="H34" s="17"/>
      <c r="R34" s="4">
        <v>1</v>
      </c>
      <c r="S34" t="s">
        <v>22</v>
      </c>
      <c r="T34" s="2" t="s">
        <v>12</v>
      </c>
      <c r="V34">
        <v>1</v>
      </c>
      <c r="W34" t="s">
        <v>26</v>
      </c>
      <c r="X34" t="s">
        <v>25</v>
      </c>
      <c r="Z34">
        <v>1</v>
      </c>
      <c r="AA34" t="s">
        <v>77</v>
      </c>
    </row>
    <row r="35" spans="1:28" x14ac:dyDescent="0.3">
      <c r="A35" s="23"/>
      <c r="B35">
        <v>2</v>
      </c>
      <c r="C35" t="s">
        <v>110</v>
      </c>
      <c r="D35" t="s">
        <v>221</v>
      </c>
      <c r="F35">
        <v>2</v>
      </c>
      <c r="G35" t="s">
        <v>110</v>
      </c>
      <c r="M35" s="9"/>
      <c r="R35" s="4">
        <v>2</v>
      </c>
      <c r="S35" t="s">
        <v>136</v>
      </c>
      <c r="T35" s="2" t="s">
        <v>4</v>
      </c>
      <c r="V35">
        <v>2</v>
      </c>
      <c r="W35" t="s">
        <v>158</v>
      </c>
      <c r="X35" t="s">
        <v>27</v>
      </c>
      <c r="Z35">
        <v>2</v>
      </c>
      <c r="AA35" t="s">
        <v>5</v>
      </c>
      <c r="AB35" s="6"/>
    </row>
    <row r="36" spans="1:28" x14ac:dyDescent="0.3">
      <c r="A36" s="23"/>
      <c r="B36">
        <v>3</v>
      </c>
      <c r="C36" t="s">
        <v>111</v>
      </c>
      <c r="D36" t="s">
        <v>221</v>
      </c>
      <c r="F36">
        <v>3</v>
      </c>
      <c r="G36" t="s">
        <v>111</v>
      </c>
      <c r="R36" s="4">
        <v>3</v>
      </c>
      <c r="S36" t="s">
        <v>97</v>
      </c>
      <c r="T36" s="2" t="s">
        <v>4</v>
      </c>
      <c r="V36">
        <v>3</v>
      </c>
      <c r="W36" t="s">
        <v>166</v>
      </c>
      <c r="X36" t="s">
        <v>82</v>
      </c>
      <c r="Z36">
        <v>3</v>
      </c>
      <c r="AA36" t="s">
        <v>7</v>
      </c>
      <c r="AB36" s="6"/>
    </row>
    <row r="37" spans="1:28" x14ac:dyDescent="0.3">
      <c r="A37" s="23"/>
      <c r="R37" s="4">
        <v>4</v>
      </c>
      <c r="S37" t="s">
        <v>175</v>
      </c>
      <c r="T37" s="2" t="s">
        <v>4</v>
      </c>
      <c r="V37">
        <v>4</v>
      </c>
      <c r="W37" t="s">
        <v>176</v>
      </c>
      <c r="X37" t="s">
        <v>124</v>
      </c>
      <c r="Z37">
        <v>4</v>
      </c>
      <c r="AA37" t="s">
        <v>149</v>
      </c>
    </row>
    <row r="38" spans="1:28" x14ac:dyDescent="0.3">
      <c r="A38" s="23"/>
      <c r="R38" s="4"/>
      <c r="T38" s="18"/>
      <c r="V38">
        <v>5</v>
      </c>
      <c r="W38" t="s">
        <v>177</v>
      </c>
      <c r="X38" t="s">
        <v>146</v>
      </c>
      <c r="Z38">
        <v>5</v>
      </c>
      <c r="AA38" t="s">
        <v>171</v>
      </c>
    </row>
    <row r="39" spans="1:28" x14ac:dyDescent="0.3">
      <c r="J39" s="4"/>
      <c r="L39" s="18"/>
      <c r="V39">
        <v>6</v>
      </c>
      <c r="W39" t="s">
        <v>222</v>
      </c>
      <c r="X39" t="s">
        <v>38</v>
      </c>
      <c r="Z39">
        <v>6</v>
      </c>
      <c r="AA39" t="s">
        <v>11</v>
      </c>
    </row>
    <row r="40" spans="1:28" x14ac:dyDescent="0.3">
      <c r="J40" s="4"/>
      <c r="L40" s="16"/>
      <c r="V40">
        <v>7</v>
      </c>
      <c r="X40" t="s">
        <v>223</v>
      </c>
      <c r="Z40">
        <v>7</v>
      </c>
      <c r="AA40" t="s">
        <v>224</v>
      </c>
    </row>
    <row r="41" spans="1:28" x14ac:dyDescent="0.3">
      <c r="J41" s="4"/>
      <c r="L41" s="16"/>
    </row>
    <row r="42" spans="1:28" x14ac:dyDescent="0.3">
      <c r="L42" s="16"/>
    </row>
    <row r="43" spans="1:28" x14ac:dyDescent="0.3">
      <c r="L43" s="16"/>
      <c r="V43" s="19" t="s">
        <v>75</v>
      </c>
      <c r="W43" s="19"/>
      <c r="X43" s="19"/>
    </row>
    <row r="44" spans="1:28" x14ac:dyDescent="0.3">
      <c r="L44" s="16"/>
      <c r="V44" t="s">
        <v>2</v>
      </c>
      <c r="W44" t="s">
        <v>3</v>
      </c>
    </row>
    <row r="45" spans="1:28" x14ac:dyDescent="0.3">
      <c r="L45" s="16"/>
      <c r="V45">
        <v>1</v>
      </c>
      <c r="W45" t="s">
        <v>19</v>
      </c>
    </row>
    <row r="46" spans="1:28" x14ac:dyDescent="0.3">
      <c r="L46" s="16"/>
      <c r="V46">
        <v>2</v>
      </c>
      <c r="W46" t="s">
        <v>83</v>
      </c>
      <c r="X46" s="6"/>
    </row>
    <row r="47" spans="1:28" x14ac:dyDescent="0.3">
      <c r="L47" s="16"/>
      <c r="V47">
        <v>3</v>
      </c>
      <c r="W47" t="s">
        <v>13</v>
      </c>
      <c r="X47" s="6"/>
    </row>
    <row r="48" spans="1:28" x14ac:dyDescent="0.3">
      <c r="L48" s="16"/>
      <c r="V48">
        <v>4</v>
      </c>
      <c r="W48" t="s">
        <v>175</v>
      </c>
    </row>
    <row r="49" spans="12:23" x14ac:dyDescent="0.3">
      <c r="L49" s="16"/>
      <c r="V49">
        <v>5</v>
      </c>
      <c r="W49" t="s">
        <v>97</v>
      </c>
    </row>
    <row r="50" spans="12:23" x14ac:dyDescent="0.3">
      <c r="L50" s="16"/>
      <c r="V50">
        <v>6</v>
      </c>
      <c r="W50" t="s">
        <v>174</v>
      </c>
    </row>
    <row r="51" spans="12:23" x14ac:dyDescent="0.3">
      <c r="L51" s="16"/>
    </row>
    <row r="52" spans="12:23" x14ac:dyDescent="0.3">
      <c r="L52" s="16"/>
    </row>
    <row r="53" spans="12:23" x14ac:dyDescent="0.3">
      <c r="L53" s="16"/>
    </row>
    <row r="54" spans="12:23" x14ac:dyDescent="0.3">
      <c r="L54" s="16"/>
    </row>
    <row r="55" spans="12:23" x14ac:dyDescent="0.3">
      <c r="L55" s="16"/>
    </row>
  </sheetData>
  <mergeCells count="29">
    <mergeCell ref="AD23:AF23"/>
    <mergeCell ref="AH23:AJ23"/>
    <mergeCell ref="A32:A38"/>
    <mergeCell ref="B32:D32"/>
    <mergeCell ref="F32:H32"/>
    <mergeCell ref="V32:X32"/>
    <mergeCell ref="Z15:AB15"/>
    <mergeCell ref="A23:A31"/>
    <mergeCell ref="B23:D23"/>
    <mergeCell ref="F23:H23"/>
    <mergeCell ref="V23:X23"/>
    <mergeCell ref="Z23:AB23"/>
    <mergeCell ref="A15:A20"/>
    <mergeCell ref="B15:D15"/>
    <mergeCell ref="F15:H15"/>
    <mergeCell ref="J15:L15"/>
    <mergeCell ref="N15:P15"/>
    <mergeCell ref="J23:L23"/>
    <mergeCell ref="N23:P23"/>
    <mergeCell ref="R23:T23"/>
    <mergeCell ref="R15:T15"/>
    <mergeCell ref="V15:X15"/>
    <mergeCell ref="R1:T1"/>
    <mergeCell ref="R8:T8"/>
    <mergeCell ref="A1:A7"/>
    <mergeCell ref="A8:A14"/>
    <mergeCell ref="N9:P9"/>
    <mergeCell ref="B2:D2"/>
    <mergeCell ref="B8:D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82070-A134-49AC-BF51-84E1069471DC}">
  <dimension ref="A1:AJ57"/>
  <sheetViews>
    <sheetView zoomScale="60" zoomScaleNormal="60" workbookViewId="0">
      <selection activeCell="I25" sqref="I25"/>
    </sheetView>
  </sheetViews>
  <sheetFormatPr defaultRowHeight="14.4" x14ac:dyDescent="0.3"/>
  <cols>
    <col min="2" max="2" width="9" customWidth="1"/>
    <col min="3" max="3" width="25" customWidth="1"/>
    <col min="4" max="4" width="20.6640625" bestFit="1" customWidth="1"/>
    <col min="7" max="7" width="24.5546875" customWidth="1"/>
    <col min="8" max="8" width="26.21875" bestFit="1" customWidth="1"/>
    <col min="9" max="11" width="15.44140625" customWidth="1"/>
    <col min="12" max="12" width="23.6640625" bestFit="1" customWidth="1"/>
    <col min="13" max="13" width="8.88671875" style="19"/>
    <col min="14" max="14" width="13.44140625" customWidth="1"/>
    <col min="15" max="15" width="23.88671875" customWidth="1"/>
    <col min="16" max="16" width="15.6640625" bestFit="1" customWidth="1"/>
    <col min="18" max="18" width="18.33203125" customWidth="1"/>
    <col min="19" max="19" width="26.5546875" bestFit="1" customWidth="1"/>
    <col min="20" max="20" width="27.6640625" bestFit="1" customWidth="1"/>
    <col min="21" max="21" width="10" customWidth="1"/>
    <col min="22" max="22" width="9.33203125" customWidth="1"/>
    <col min="23" max="23" width="19.77734375" bestFit="1" customWidth="1"/>
    <col min="24" max="24" width="32.33203125" bestFit="1" customWidth="1"/>
    <col min="26" max="26" width="13.5546875" customWidth="1"/>
    <col min="27" max="27" width="16.6640625" bestFit="1" customWidth="1"/>
    <col min="28" max="28" width="18.109375" customWidth="1"/>
    <col min="30" max="30" width="6.5546875" bestFit="1" customWidth="1"/>
    <col min="31" max="31" width="12" customWidth="1"/>
    <col min="32" max="32" width="27.88671875" bestFit="1" customWidth="1"/>
    <col min="34" max="34" width="6.5546875" bestFit="1" customWidth="1"/>
    <col min="35" max="35" width="10.6640625" bestFit="1" customWidth="1"/>
    <col min="36" max="36" width="18.88671875" customWidth="1"/>
  </cols>
  <sheetData>
    <row r="1" spans="1:36" x14ac:dyDescent="0.3">
      <c r="A1" s="23" t="s">
        <v>0</v>
      </c>
      <c r="B1" s="28"/>
      <c r="C1" s="28"/>
      <c r="D1" s="28"/>
      <c r="I1" s="3"/>
      <c r="N1" s="25" t="s">
        <v>125</v>
      </c>
      <c r="O1" s="25"/>
      <c r="P1" s="25"/>
      <c r="R1" s="25" t="s">
        <v>126</v>
      </c>
      <c r="S1" s="25"/>
      <c r="T1" s="25"/>
      <c r="V1" s="22" t="s">
        <v>241</v>
      </c>
      <c r="W1" s="22"/>
      <c r="X1" s="22"/>
    </row>
    <row r="2" spans="1:36" x14ac:dyDescent="0.3">
      <c r="A2" s="23"/>
      <c r="N2" t="s">
        <v>2</v>
      </c>
      <c r="O2" t="s">
        <v>3</v>
      </c>
      <c r="R2" t="s">
        <v>2</v>
      </c>
      <c r="S2" t="s">
        <v>3</v>
      </c>
      <c r="V2" t="s">
        <v>2</v>
      </c>
      <c r="W2" t="s">
        <v>3</v>
      </c>
    </row>
    <row r="3" spans="1:36" ht="14.4" customHeight="1" x14ac:dyDescent="0.3">
      <c r="A3" s="23"/>
      <c r="N3">
        <v>1</v>
      </c>
      <c r="O3" t="s">
        <v>127</v>
      </c>
      <c r="R3">
        <v>1</v>
      </c>
      <c r="S3" t="s">
        <v>127</v>
      </c>
      <c r="T3" s="16" t="s">
        <v>225</v>
      </c>
      <c r="V3">
        <v>1</v>
      </c>
      <c r="W3" t="s">
        <v>226</v>
      </c>
      <c r="X3" t="s">
        <v>28</v>
      </c>
    </row>
    <row r="4" spans="1:36" x14ac:dyDescent="0.3">
      <c r="A4" s="23"/>
      <c r="N4">
        <v>2</v>
      </c>
      <c r="O4" t="s">
        <v>128</v>
      </c>
      <c r="R4">
        <v>2</v>
      </c>
      <c r="S4" t="s">
        <v>128</v>
      </c>
      <c r="T4" s="16" t="s">
        <v>225</v>
      </c>
      <c r="V4">
        <v>2</v>
      </c>
      <c r="W4" t="s">
        <v>227</v>
      </c>
      <c r="X4" t="s">
        <v>28</v>
      </c>
    </row>
    <row r="5" spans="1:36" x14ac:dyDescent="0.3">
      <c r="A5" s="23"/>
      <c r="N5">
        <v>3</v>
      </c>
      <c r="O5" t="s">
        <v>129</v>
      </c>
      <c r="R5">
        <v>3</v>
      </c>
      <c r="S5" t="s">
        <v>129</v>
      </c>
      <c r="V5">
        <v>3</v>
      </c>
      <c r="X5" s="6" t="s">
        <v>28</v>
      </c>
    </row>
    <row r="6" spans="1:36" x14ac:dyDescent="0.3">
      <c r="A6" s="23"/>
      <c r="D6" s="6"/>
      <c r="N6" s="12"/>
      <c r="O6" s="12"/>
      <c r="P6" s="12"/>
      <c r="V6">
        <v>4</v>
      </c>
      <c r="X6" t="s">
        <v>28</v>
      </c>
    </row>
    <row r="7" spans="1:36" x14ac:dyDescent="0.3">
      <c r="A7" s="23"/>
      <c r="N7" s="12"/>
      <c r="O7" s="12"/>
      <c r="P7" s="12"/>
      <c r="R7" s="4"/>
      <c r="S7" s="4"/>
      <c r="T7" s="4"/>
    </row>
    <row r="8" spans="1:36" x14ac:dyDescent="0.3">
      <c r="A8" s="23"/>
      <c r="S8" s="6"/>
    </row>
    <row r="9" spans="1:36" x14ac:dyDescent="0.3">
      <c r="A9" s="23" t="s">
        <v>9</v>
      </c>
      <c r="B9" s="22" t="s">
        <v>29</v>
      </c>
      <c r="C9" s="22"/>
      <c r="D9" s="22"/>
      <c r="F9" s="25" t="s">
        <v>137</v>
      </c>
      <c r="G9" s="25"/>
      <c r="H9" s="25"/>
      <c r="I9" s="3"/>
      <c r="J9" s="25" t="s">
        <v>138</v>
      </c>
      <c r="K9" s="25"/>
      <c r="L9" s="25"/>
      <c r="N9" s="25" t="s">
        <v>130</v>
      </c>
      <c r="O9" s="25"/>
      <c r="P9" s="25"/>
      <c r="R9" s="25" t="s">
        <v>131</v>
      </c>
      <c r="S9" s="25"/>
      <c r="T9" s="25"/>
      <c r="V9" s="22" t="s">
        <v>30</v>
      </c>
      <c r="W9" s="22"/>
      <c r="X9" s="22"/>
      <c r="Z9" s="25" t="s">
        <v>139</v>
      </c>
      <c r="AA9" s="25"/>
      <c r="AB9" s="25"/>
      <c r="AD9" s="25" t="s">
        <v>105</v>
      </c>
      <c r="AE9" s="25"/>
      <c r="AF9" s="25"/>
      <c r="AH9" s="25" t="s">
        <v>106</v>
      </c>
      <c r="AI9" s="25"/>
      <c r="AJ9" s="25"/>
    </row>
    <row r="10" spans="1:36" x14ac:dyDescent="0.3">
      <c r="A10" s="23"/>
      <c r="B10" t="s">
        <v>2</v>
      </c>
      <c r="C10" t="s">
        <v>3</v>
      </c>
      <c r="F10" t="s">
        <v>2</v>
      </c>
      <c r="G10" t="s">
        <v>3</v>
      </c>
      <c r="J10" t="s">
        <v>2</v>
      </c>
      <c r="K10" t="s">
        <v>3</v>
      </c>
      <c r="N10" t="s">
        <v>2</v>
      </c>
      <c r="O10" t="s">
        <v>3</v>
      </c>
      <c r="R10" t="s">
        <v>2</v>
      </c>
      <c r="S10" t="s">
        <v>3</v>
      </c>
      <c r="V10" t="s">
        <v>2</v>
      </c>
      <c r="W10" t="s">
        <v>3</v>
      </c>
      <c r="Z10" t="s">
        <v>2</v>
      </c>
      <c r="AA10" t="s">
        <v>3</v>
      </c>
      <c r="AD10" t="s">
        <v>2</v>
      </c>
      <c r="AE10" t="s">
        <v>3</v>
      </c>
      <c r="AH10" t="s">
        <v>2</v>
      </c>
      <c r="AI10" t="s">
        <v>3</v>
      </c>
    </row>
    <row r="11" spans="1:36" ht="15" customHeight="1" x14ac:dyDescent="0.3">
      <c r="A11" s="23"/>
      <c r="B11" s="5">
        <v>1</v>
      </c>
      <c r="C11" t="s">
        <v>31</v>
      </c>
      <c r="D11" s="11"/>
      <c r="F11">
        <v>1</v>
      </c>
      <c r="G11" t="s">
        <v>127</v>
      </c>
      <c r="H11" t="s">
        <v>151</v>
      </c>
      <c r="J11">
        <v>1</v>
      </c>
      <c r="K11" t="s">
        <v>127</v>
      </c>
      <c r="N11">
        <v>1</v>
      </c>
      <c r="O11" t="s">
        <v>127</v>
      </c>
      <c r="R11">
        <v>1</v>
      </c>
      <c r="S11" t="s">
        <v>127</v>
      </c>
      <c r="V11">
        <v>1</v>
      </c>
      <c r="W11" t="s">
        <v>226</v>
      </c>
      <c r="X11" t="s">
        <v>28</v>
      </c>
      <c r="Z11">
        <v>1</v>
      </c>
      <c r="AA11" t="s">
        <v>127</v>
      </c>
      <c r="AB11" s="16" t="s">
        <v>199</v>
      </c>
      <c r="AD11">
        <v>1</v>
      </c>
      <c r="AE11" t="s">
        <v>127</v>
      </c>
      <c r="AF11" s="16" t="s">
        <v>199</v>
      </c>
      <c r="AH11">
        <v>1</v>
      </c>
      <c r="AI11" t="s">
        <v>127</v>
      </c>
      <c r="AJ11" t="s">
        <v>228</v>
      </c>
    </row>
    <row r="12" spans="1:36" x14ac:dyDescent="0.3">
      <c r="A12" s="23"/>
      <c r="B12" s="5">
        <v>2</v>
      </c>
      <c r="C12" t="s">
        <v>167</v>
      </c>
      <c r="D12" s="11"/>
      <c r="F12">
        <v>2</v>
      </c>
      <c r="G12" t="s">
        <v>128</v>
      </c>
      <c r="H12" t="s">
        <v>151</v>
      </c>
      <c r="J12">
        <v>2</v>
      </c>
      <c r="K12" t="s">
        <v>128</v>
      </c>
      <c r="N12">
        <v>2</v>
      </c>
      <c r="O12" t="s">
        <v>128</v>
      </c>
      <c r="R12">
        <v>2</v>
      </c>
      <c r="S12" t="s">
        <v>128</v>
      </c>
      <c r="V12">
        <v>2</v>
      </c>
      <c r="W12" t="s">
        <v>227</v>
      </c>
      <c r="X12" t="s">
        <v>28</v>
      </c>
      <c r="Z12">
        <v>2</v>
      </c>
      <c r="AA12" t="s">
        <v>128</v>
      </c>
      <c r="AB12" s="16" t="s">
        <v>199</v>
      </c>
      <c r="AD12">
        <v>2</v>
      </c>
      <c r="AE12" t="s">
        <v>128</v>
      </c>
      <c r="AF12" s="16" t="s">
        <v>199</v>
      </c>
      <c r="AH12">
        <v>2</v>
      </c>
      <c r="AI12" t="s">
        <v>128</v>
      </c>
      <c r="AJ12" t="s">
        <v>228</v>
      </c>
    </row>
    <row r="13" spans="1:36" x14ac:dyDescent="0.3">
      <c r="A13" s="23"/>
      <c r="B13" s="5">
        <v>3</v>
      </c>
      <c r="D13" s="11"/>
      <c r="F13">
        <v>3</v>
      </c>
      <c r="G13" t="s">
        <v>129</v>
      </c>
      <c r="H13" s="16" t="s">
        <v>225</v>
      </c>
      <c r="J13">
        <v>3</v>
      </c>
      <c r="K13" t="s">
        <v>129</v>
      </c>
      <c r="L13" s="16" t="s">
        <v>199</v>
      </c>
      <c r="N13">
        <v>3</v>
      </c>
      <c r="O13" t="s">
        <v>129</v>
      </c>
      <c r="R13">
        <v>3</v>
      </c>
      <c r="S13" t="s">
        <v>129</v>
      </c>
      <c r="V13">
        <v>3</v>
      </c>
      <c r="X13" s="6" t="s">
        <v>28</v>
      </c>
      <c r="Z13">
        <v>3</v>
      </c>
      <c r="AA13" t="s">
        <v>129</v>
      </c>
      <c r="AB13" t="s">
        <v>178</v>
      </c>
      <c r="AD13">
        <v>3</v>
      </c>
      <c r="AE13" t="s">
        <v>129</v>
      </c>
      <c r="AH13">
        <v>3</v>
      </c>
      <c r="AI13" t="s">
        <v>129</v>
      </c>
    </row>
    <row r="14" spans="1:36" x14ac:dyDescent="0.3">
      <c r="A14" s="23"/>
      <c r="B14" s="5">
        <v>4</v>
      </c>
      <c r="D14" s="11"/>
      <c r="F14" s="4"/>
      <c r="G14" s="4"/>
      <c r="H14" s="4"/>
      <c r="I14" s="4"/>
      <c r="J14" s="4"/>
      <c r="K14" s="4"/>
      <c r="L14" s="4"/>
      <c r="R14" s="12"/>
      <c r="S14" s="12"/>
      <c r="T14" s="12"/>
      <c r="V14">
        <v>4</v>
      </c>
      <c r="X14" t="s">
        <v>28</v>
      </c>
      <c r="Z14" s="12"/>
      <c r="AA14" s="12"/>
      <c r="AB14" s="12"/>
    </row>
    <row r="15" spans="1:36" x14ac:dyDescent="0.3">
      <c r="A15" s="23"/>
      <c r="B15" s="5">
        <v>5</v>
      </c>
      <c r="D15" s="11"/>
      <c r="F15" s="4"/>
      <c r="G15" s="4"/>
      <c r="H15" s="4"/>
      <c r="I15" s="4"/>
      <c r="J15" s="4"/>
      <c r="K15" s="4"/>
      <c r="L15" s="4"/>
      <c r="V15" s="4"/>
      <c r="W15" s="4"/>
      <c r="X15" s="4"/>
      <c r="Z15" s="12"/>
      <c r="AA15" s="12"/>
      <c r="AB15" s="12"/>
    </row>
    <row r="16" spans="1:36" x14ac:dyDescent="0.3">
      <c r="A16" s="23"/>
      <c r="B16" s="5"/>
      <c r="D16" s="11"/>
    </row>
    <row r="17" spans="1:32" x14ac:dyDescent="0.3">
      <c r="A17" s="23"/>
      <c r="B17" s="5"/>
      <c r="D17" s="11"/>
    </row>
    <row r="18" spans="1:32" x14ac:dyDescent="0.3">
      <c r="A18" s="1"/>
      <c r="B18" s="5"/>
      <c r="D18" s="11"/>
      <c r="X18" s="10"/>
    </row>
    <row r="19" spans="1:32" x14ac:dyDescent="0.3">
      <c r="A19" s="1"/>
      <c r="B19" s="5"/>
      <c r="D19" s="11"/>
      <c r="X19" s="10"/>
    </row>
    <row r="20" spans="1:32" x14ac:dyDescent="0.3">
      <c r="A20" s="23" t="s">
        <v>15</v>
      </c>
      <c r="B20" s="22" t="s">
        <v>98</v>
      </c>
      <c r="C20" s="22"/>
      <c r="D20" s="22"/>
      <c r="F20" s="25" t="s">
        <v>115</v>
      </c>
      <c r="G20" s="25"/>
      <c r="H20" s="25"/>
      <c r="I20" s="3"/>
      <c r="J20" s="25" t="s">
        <v>116</v>
      </c>
      <c r="K20" s="25"/>
      <c r="L20" s="25"/>
      <c r="N20" s="22" t="s">
        <v>242</v>
      </c>
      <c r="O20" s="22"/>
      <c r="P20" s="22"/>
      <c r="R20" s="29" t="s">
        <v>243</v>
      </c>
      <c r="S20" s="29"/>
      <c r="T20" s="29"/>
      <c r="V20" s="25" t="s">
        <v>140</v>
      </c>
      <c r="W20" s="25"/>
      <c r="X20" s="25"/>
      <c r="Z20" s="25" t="s">
        <v>141</v>
      </c>
      <c r="AA20" s="25"/>
      <c r="AB20" s="25"/>
      <c r="AD20" s="25" t="s">
        <v>142</v>
      </c>
      <c r="AE20" s="25"/>
      <c r="AF20" s="25"/>
    </row>
    <row r="21" spans="1:32" x14ac:dyDescent="0.3">
      <c r="A21" s="23"/>
      <c r="B21" t="s">
        <v>2</v>
      </c>
      <c r="C21" t="s">
        <v>3</v>
      </c>
      <c r="F21" t="s">
        <v>2</v>
      </c>
      <c r="G21" t="s">
        <v>3</v>
      </c>
      <c r="J21" t="s">
        <v>2</v>
      </c>
      <c r="K21" t="s">
        <v>3</v>
      </c>
      <c r="N21" t="s">
        <v>2</v>
      </c>
      <c r="O21" t="s">
        <v>3</v>
      </c>
      <c r="R21" t="s">
        <v>2</v>
      </c>
      <c r="S21" t="s">
        <v>3</v>
      </c>
      <c r="T21" t="s">
        <v>3</v>
      </c>
      <c r="V21" t="s">
        <v>2</v>
      </c>
      <c r="W21" t="s">
        <v>3</v>
      </c>
      <c r="Z21" t="s">
        <v>2</v>
      </c>
      <c r="AA21" t="s">
        <v>3</v>
      </c>
      <c r="AD21" t="s">
        <v>2</v>
      </c>
      <c r="AE21" t="s">
        <v>3</v>
      </c>
    </row>
    <row r="22" spans="1:32" ht="15" customHeight="1" x14ac:dyDescent="0.3">
      <c r="A22" s="23"/>
      <c r="B22">
        <v>1</v>
      </c>
      <c r="C22" t="s">
        <v>13</v>
      </c>
      <c r="D22" t="s">
        <v>12</v>
      </c>
      <c r="F22">
        <v>1</v>
      </c>
      <c r="G22" t="s">
        <v>127</v>
      </c>
      <c r="J22">
        <v>1</v>
      </c>
      <c r="K22" t="s">
        <v>127</v>
      </c>
      <c r="N22">
        <v>1</v>
      </c>
      <c r="O22" t="s">
        <v>19</v>
      </c>
      <c r="P22" t="s">
        <v>12</v>
      </c>
      <c r="R22">
        <v>1</v>
      </c>
      <c r="S22" t="s">
        <v>132</v>
      </c>
      <c r="T22" t="s">
        <v>35</v>
      </c>
      <c r="V22">
        <v>1</v>
      </c>
      <c r="W22" t="s">
        <v>127</v>
      </c>
      <c r="X22" s="16" t="s">
        <v>199</v>
      </c>
      <c r="Z22">
        <v>1</v>
      </c>
      <c r="AA22" t="s">
        <v>127</v>
      </c>
      <c r="AB22" s="16" t="s">
        <v>199</v>
      </c>
      <c r="AD22">
        <v>1</v>
      </c>
      <c r="AE22" t="s">
        <v>127</v>
      </c>
      <c r="AF22" t="s">
        <v>229</v>
      </c>
    </row>
    <row r="23" spans="1:32" ht="14.4" customHeight="1" x14ac:dyDescent="0.3">
      <c r="A23" s="23"/>
      <c r="B23" s="6">
        <v>2</v>
      </c>
      <c r="C23" t="s">
        <v>11</v>
      </c>
      <c r="D23" t="s">
        <v>12</v>
      </c>
      <c r="F23">
        <v>2</v>
      </c>
      <c r="G23" t="s">
        <v>128</v>
      </c>
      <c r="J23">
        <v>2</v>
      </c>
      <c r="K23" t="s">
        <v>128</v>
      </c>
      <c r="N23">
        <v>2</v>
      </c>
      <c r="O23" t="s">
        <v>18</v>
      </c>
      <c r="P23" t="s">
        <v>12</v>
      </c>
      <c r="R23">
        <v>2</v>
      </c>
      <c r="S23" t="s">
        <v>32</v>
      </c>
      <c r="T23" s="6" t="s">
        <v>168</v>
      </c>
      <c r="V23">
        <v>2</v>
      </c>
      <c r="W23" t="s">
        <v>128</v>
      </c>
      <c r="X23" s="16" t="s">
        <v>199</v>
      </c>
      <c r="Z23">
        <v>2</v>
      </c>
      <c r="AA23" t="s">
        <v>128</v>
      </c>
      <c r="AB23" s="16" t="s">
        <v>199</v>
      </c>
      <c r="AD23">
        <v>2</v>
      </c>
      <c r="AE23" t="s">
        <v>128</v>
      </c>
      <c r="AF23" t="s">
        <v>229</v>
      </c>
    </row>
    <row r="24" spans="1:32" x14ac:dyDescent="0.3">
      <c r="A24" s="23"/>
      <c r="B24" s="6">
        <v>3</v>
      </c>
      <c r="F24">
        <v>3</v>
      </c>
      <c r="G24" t="s">
        <v>129</v>
      </c>
      <c r="H24" s="16" t="s">
        <v>199</v>
      </c>
      <c r="J24">
        <v>3</v>
      </c>
      <c r="K24" t="s">
        <v>129</v>
      </c>
      <c r="L24" s="16" t="s">
        <v>199</v>
      </c>
      <c r="N24">
        <v>3</v>
      </c>
      <c r="O24" t="s">
        <v>216</v>
      </c>
      <c r="P24" t="s">
        <v>12</v>
      </c>
      <c r="R24">
        <v>3</v>
      </c>
      <c r="S24" t="s">
        <v>39</v>
      </c>
      <c r="T24" s="6" t="s">
        <v>144</v>
      </c>
      <c r="V24">
        <v>3</v>
      </c>
      <c r="W24" t="s">
        <v>129</v>
      </c>
      <c r="X24" t="s">
        <v>143</v>
      </c>
      <c r="Z24">
        <v>3</v>
      </c>
      <c r="AA24" t="s">
        <v>129</v>
      </c>
      <c r="AB24" t="s">
        <v>179</v>
      </c>
      <c r="AD24">
        <v>3</v>
      </c>
      <c r="AE24" t="s">
        <v>129</v>
      </c>
    </row>
    <row r="25" spans="1:32" x14ac:dyDescent="0.3">
      <c r="A25" s="23"/>
      <c r="B25" s="6">
        <v>4</v>
      </c>
      <c r="F25" s="12"/>
      <c r="G25" s="12"/>
      <c r="H25" s="12"/>
      <c r="I25" s="12"/>
      <c r="N25">
        <v>4</v>
      </c>
      <c r="O25" s="6" t="s">
        <v>33</v>
      </c>
      <c r="P25" t="s">
        <v>28</v>
      </c>
      <c r="R25">
        <v>4</v>
      </c>
      <c r="S25" t="s">
        <v>230</v>
      </c>
      <c r="T25" s="6" t="s">
        <v>153</v>
      </c>
      <c r="V25" s="12"/>
      <c r="W25" s="12"/>
      <c r="X25" s="12"/>
    </row>
    <row r="26" spans="1:32" x14ac:dyDescent="0.3">
      <c r="A26" s="23"/>
      <c r="B26" s="6"/>
      <c r="F26" s="12"/>
      <c r="G26" s="12"/>
      <c r="H26" s="12"/>
      <c r="I26" s="12"/>
      <c r="R26">
        <v>5</v>
      </c>
      <c r="S26" t="s">
        <v>182</v>
      </c>
      <c r="T26" s="6" t="s">
        <v>159</v>
      </c>
      <c r="V26" s="12"/>
      <c r="W26" s="12"/>
      <c r="X26" s="12"/>
    </row>
    <row r="27" spans="1:32" x14ac:dyDescent="0.3">
      <c r="A27" s="23"/>
      <c r="D27" s="10"/>
      <c r="L27" s="6"/>
      <c r="R27">
        <v>6</v>
      </c>
      <c r="S27" t="s">
        <v>231</v>
      </c>
      <c r="T27" t="s">
        <v>23</v>
      </c>
      <c r="X27" s="10"/>
    </row>
    <row r="28" spans="1:32" x14ac:dyDescent="0.3">
      <c r="A28" s="23"/>
      <c r="T28" s="6"/>
    </row>
    <row r="29" spans="1:32" x14ac:dyDescent="0.3">
      <c r="A29" s="23"/>
    </row>
    <row r="30" spans="1:32" x14ac:dyDescent="0.3">
      <c r="A30" s="23"/>
    </row>
    <row r="31" spans="1:32" x14ac:dyDescent="0.3">
      <c r="A31" s="23"/>
    </row>
    <row r="32" spans="1:32" x14ac:dyDescent="0.3">
      <c r="A32" s="23"/>
      <c r="R32" s="28"/>
      <c r="S32" s="28"/>
      <c r="T32" s="28"/>
    </row>
    <row r="33" spans="1:20" x14ac:dyDescent="0.3">
      <c r="A33" s="23"/>
      <c r="R33" s="3"/>
      <c r="S33" s="3"/>
      <c r="T33" s="3"/>
    </row>
    <row r="34" spans="1:20" x14ac:dyDescent="0.3">
      <c r="A34" s="23"/>
    </row>
    <row r="35" spans="1:20" x14ac:dyDescent="0.3">
      <c r="A35" s="23" t="s">
        <v>21</v>
      </c>
      <c r="B35" s="25" t="s">
        <v>232</v>
      </c>
      <c r="C35" s="25"/>
      <c r="D35" s="25"/>
      <c r="F35" s="25" t="s">
        <v>133</v>
      </c>
      <c r="G35" s="25"/>
      <c r="H35" s="25"/>
      <c r="I35" s="3"/>
      <c r="J35" s="25" t="s">
        <v>134</v>
      </c>
      <c r="K35" s="25"/>
      <c r="L35" s="25"/>
      <c r="N35" s="29" t="s">
        <v>189</v>
      </c>
      <c r="O35" s="29"/>
      <c r="P35" s="29"/>
      <c r="R35" s="27" t="s">
        <v>244</v>
      </c>
      <c r="S35" s="27"/>
      <c r="T35" s="27"/>
    </row>
    <row r="36" spans="1:20" x14ac:dyDescent="0.3">
      <c r="A36" s="23"/>
      <c r="B36" t="s">
        <v>2</v>
      </c>
      <c r="C36" t="s">
        <v>3</v>
      </c>
      <c r="F36" t="s">
        <v>2</v>
      </c>
      <c r="G36" t="s">
        <v>3</v>
      </c>
      <c r="J36" t="s">
        <v>2</v>
      </c>
      <c r="K36" t="s">
        <v>3</v>
      </c>
      <c r="N36" t="s">
        <v>2</v>
      </c>
      <c r="O36" t="s">
        <v>3</v>
      </c>
      <c r="R36" t="s">
        <v>2</v>
      </c>
      <c r="S36" t="s">
        <v>3</v>
      </c>
      <c r="T36" t="s">
        <v>3</v>
      </c>
    </row>
    <row r="37" spans="1:20" x14ac:dyDescent="0.3">
      <c r="A37" s="23"/>
      <c r="B37">
        <v>1</v>
      </c>
      <c r="C37" t="s">
        <v>127</v>
      </c>
      <c r="F37">
        <v>1</v>
      </c>
      <c r="G37" t="s">
        <v>127</v>
      </c>
      <c r="H37" t="s">
        <v>233</v>
      </c>
      <c r="J37">
        <v>1</v>
      </c>
      <c r="K37" t="s">
        <v>127</v>
      </c>
      <c r="N37">
        <v>1</v>
      </c>
      <c r="O37" t="s">
        <v>37</v>
      </c>
      <c r="P37" t="s">
        <v>14</v>
      </c>
      <c r="R37">
        <v>1</v>
      </c>
      <c r="S37" t="s">
        <v>160</v>
      </c>
      <c r="T37" t="s">
        <v>169</v>
      </c>
    </row>
    <row r="38" spans="1:20" x14ac:dyDescent="0.3">
      <c r="A38" s="23"/>
      <c r="B38">
        <v>2</v>
      </c>
      <c r="C38" t="s">
        <v>128</v>
      </c>
      <c r="F38">
        <v>2</v>
      </c>
      <c r="G38" t="s">
        <v>128</v>
      </c>
      <c r="H38" t="s">
        <v>233</v>
      </c>
      <c r="J38">
        <v>2</v>
      </c>
      <c r="K38" t="s">
        <v>128</v>
      </c>
      <c r="N38">
        <v>2</v>
      </c>
      <c r="O38" s="6" t="s">
        <v>34</v>
      </c>
      <c r="P38" t="s">
        <v>14</v>
      </c>
      <c r="R38">
        <v>2</v>
      </c>
      <c r="S38" t="s">
        <v>234</v>
      </c>
      <c r="T38" t="s">
        <v>180</v>
      </c>
    </row>
    <row r="39" spans="1:20" x14ac:dyDescent="0.3">
      <c r="A39" s="23"/>
      <c r="B39">
        <v>3</v>
      </c>
      <c r="C39" t="s">
        <v>129</v>
      </c>
      <c r="F39">
        <v>3</v>
      </c>
      <c r="G39" t="s">
        <v>129</v>
      </c>
      <c r="H39" t="s">
        <v>233</v>
      </c>
      <c r="J39">
        <v>3</v>
      </c>
      <c r="K39" t="s">
        <v>129</v>
      </c>
      <c r="N39">
        <v>3</v>
      </c>
      <c r="O39" t="s">
        <v>235</v>
      </c>
      <c r="P39" t="s">
        <v>14</v>
      </c>
      <c r="R39">
        <v>3</v>
      </c>
      <c r="S39" t="s">
        <v>165</v>
      </c>
      <c r="T39" t="s">
        <v>181</v>
      </c>
    </row>
    <row r="40" spans="1:20" x14ac:dyDescent="0.3">
      <c r="A40" s="23"/>
      <c r="N40">
        <v>4</v>
      </c>
      <c r="O40" t="s">
        <v>236</v>
      </c>
      <c r="P40" t="s">
        <v>14</v>
      </c>
      <c r="R40">
        <v>4</v>
      </c>
      <c r="S40" t="s">
        <v>237</v>
      </c>
      <c r="T40" t="s">
        <v>183</v>
      </c>
    </row>
    <row r="41" spans="1:20" x14ac:dyDescent="0.3">
      <c r="A41" s="23"/>
      <c r="N41">
        <v>5</v>
      </c>
      <c r="P41" t="s">
        <v>14</v>
      </c>
      <c r="R41">
        <v>5</v>
      </c>
      <c r="S41" t="s">
        <v>170</v>
      </c>
      <c r="T41" t="s">
        <v>238</v>
      </c>
    </row>
    <row r="42" spans="1:20" x14ac:dyDescent="0.3">
      <c r="A42" s="23"/>
      <c r="N42">
        <v>6</v>
      </c>
      <c r="P42" t="s">
        <v>14</v>
      </c>
      <c r="R42">
        <v>6</v>
      </c>
    </row>
    <row r="43" spans="1:20" x14ac:dyDescent="0.3">
      <c r="A43" s="23"/>
      <c r="T43" s="10"/>
    </row>
    <row r="44" spans="1:20" x14ac:dyDescent="0.3">
      <c r="A44" s="23"/>
      <c r="T44" s="10"/>
    </row>
    <row r="45" spans="1:20" x14ac:dyDescent="0.3">
      <c r="A45" s="23"/>
      <c r="P45" s="10"/>
    </row>
    <row r="46" spans="1:20" x14ac:dyDescent="0.3">
      <c r="A46" s="23"/>
      <c r="P46" s="10"/>
    </row>
    <row r="47" spans="1:20" x14ac:dyDescent="0.3">
      <c r="A47" s="23"/>
      <c r="P47" s="10"/>
    </row>
    <row r="48" spans="1:20" x14ac:dyDescent="0.3">
      <c r="A48" s="23"/>
    </row>
    <row r="49" spans="1:24" x14ac:dyDescent="0.3">
      <c r="A49" s="23"/>
    </row>
    <row r="50" spans="1:24" x14ac:dyDescent="0.3">
      <c r="A50" s="23"/>
      <c r="N50" s="30" t="s">
        <v>188</v>
      </c>
      <c r="O50" s="30"/>
      <c r="P50" s="30"/>
      <c r="V50" s="28"/>
      <c r="W50" s="28"/>
      <c r="X50" s="28"/>
    </row>
    <row r="51" spans="1:24" x14ac:dyDescent="0.3">
      <c r="A51" s="23"/>
      <c r="N51" t="s">
        <v>2</v>
      </c>
      <c r="O51" t="s">
        <v>3</v>
      </c>
    </row>
    <row r="52" spans="1:24" x14ac:dyDescent="0.3">
      <c r="A52" s="23"/>
      <c r="N52">
        <v>1</v>
      </c>
      <c r="O52" t="s">
        <v>78</v>
      </c>
    </row>
    <row r="53" spans="1:24" x14ac:dyDescent="0.3">
      <c r="A53" s="23"/>
      <c r="N53">
        <v>2</v>
      </c>
      <c r="O53" t="s">
        <v>216</v>
      </c>
      <c r="P53" s="10"/>
      <c r="T53" s="10"/>
    </row>
    <row r="54" spans="1:24" x14ac:dyDescent="0.3">
      <c r="A54" s="23"/>
      <c r="N54">
        <v>3</v>
      </c>
      <c r="O54" t="s">
        <v>224</v>
      </c>
      <c r="P54" s="10"/>
      <c r="T54" s="10"/>
    </row>
    <row r="55" spans="1:24" x14ac:dyDescent="0.3">
      <c r="A55" s="23"/>
      <c r="N55">
        <v>4</v>
      </c>
      <c r="S55" s="10"/>
    </row>
    <row r="56" spans="1:24" x14ac:dyDescent="0.3">
      <c r="N56">
        <v>5</v>
      </c>
    </row>
    <row r="57" spans="1:24" x14ac:dyDescent="0.3">
      <c r="N57">
        <v>6</v>
      </c>
    </row>
  </sheetData>
  <mergeCells count="33">
    <mergeCell ref="AH9:AJ9"/>
    <mergeCell ref="Z20:AB20"/>
    <mergeCell ref="AD20:AF20"/>
    <mergeCell ref="V1:X1"/>
    <mergeCell ref="V9:X9"/>
    <mergeCell ref="N1:P1"/>
    <mergeCell ref="R1:T1"/>
    <mergeCell ref="AD9:AF9"/>
    <mergeCell ref="Z9:AB9"/>
    <mergeCell ref="F20:H20"/>
    <mergeCell ref="V20:X20"/>
    <mergeCell ref="J9:L9"/>
    <mergeCell ref="J20:L20"/>
    <mergeCell ref="V50:X50"/>
    <mergeCell ref="N9:P9"/>
    <mergeCell ref="R9:T9"/>
    <mergeCell ref="R20:T20"/>
    <mergeCell ref="R32:T32"/>
    <mergeCell ref="F35:H35"/>
    <mergeCell ref="R35:T35"/>
    <mergeCell ref="A20:A34"/>
    <mergeCell ref="A35:A55"/>
    <mergeCell ref="J35:L35"/>
    <mergeCell ref="N35:P35"/>
    <mergeCell ref="N50:P50"/>
    <mergeCell ref="B20:D20"/>
    <mergeCell ref="N20:P20"/>
    <mergeCell ref="B35:D35"/>
    <mergeCell ref="A1:A8"/>
    <mergeCell ref="B1:D1"/>
    <mergeCell ref="A9:A17"/>
    <mergeCell ref="B9:D9"/>
    <mergeCell ref="F9:H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D9559-597A-4811-BC44-2A4E2269A252}">
  <dimension ref="A1:G21"/>
  <sheetViews>
    <sheetView workbookViewId="0">
      <selection activeCell="C23" sqref="C23"/>
    </sheetView>
  </sheetViews>
  <sheetFormatPr defaultRowHeight="14.4" x14ac:dyDescent="0.3"/>
  <cols>
    <col min="2" max="2" width="22.6640625" bestFit="1" customWidth="1"/>
    <col min="6" max="6" width="24.6640625" bestFit="1" customWidth="1"/>
    <col min="8" max="8" width="11" bestFit="1" customWidth="1"/>
    <col min="10" max="10" width="10.77734375" bestFit="1" customWidth="1"/>
    <col min="11" max="11" width="13.44140625" bestFit="1" customWidth="1"/>
  </cols>
  <sheetData>
    <row r="1" spans="1:7" x14ac:dyDescent="0.3">
      <c r="A1" s="32" t="s">
        <v>84</v>
      </c>
      <c r="B1" s="32"/>
      <c r="C1" s="32"/>
      <c r="E1" s="32" t="s">
        <v>85</v>
      </c>
      <c r="F1" s="32"/>
      <c r="G1" s="32"/>
    </row>
    <row r="2" spans="1:7" x14ac:dyDescent="0.3">
      <c r="A2" s="31" t="s">
        <v>86</v>
      </c>
      <c r="B2" s="31"/>
      <c r="C2" s="31"/>
      <c r="E2" s="31" t="s">
        <v>86</v>
      </c>
      <c r="F2" s="31"/>
      <c r="G2" s="31"/>
    </row>
    <row r="3" spans="1:7" x14ac:dyDescent="0.3">
      <c r="A3" t="s">
        <v>2</v>
      </c>
      <c r="B3" t="s">
        <v>3</v>
      </c>
      <c r="C3" t="s">
        <v>87</v>
      </c>
      <c r="E3" t="s">
        <v>2</v>
      </c>
      <c r="F3" t="s">
        <v>3</v>
      </c>
      <c r="G3" t="s">
        <v>87</v>
      </c>
    </row>
    <row r="4" spans="1:7" x14ac:dyDescent="0.3">
      <c r="A4">
        <v>1</v>
      </c>
      <c r="B4" t="s">
        <v>162</v>
      </c>
      <c r="E4">
        <v>1</v>
      </c>
      <c r="F4" t="s">
        <v>88</v>
      </c>
    </row>
    <row r="5" spans="1:7" x14ac:dyDescent="0.3">
      <c r="A5">
        <v>2</v>
      </c>
      <c r="B5" t="s">
        <v>163</v>
      </c>
      <c r="E5">
        <v>2</v>
      </c>
      <c r="F5" t="s">
        <v>161</v>
      </c>
    </row>
    <row r="6" spans="1:7" x14ac:dyDescent="0.3">
      <c r="A6">
        <v>3</v>
      </c>
      <c r="B6" t="s">
        <v>164</v>
      </c>
      <c r="E6">
        <v>3</v>
      </c>
      <c r="F6" t="s">
        <v>191</v>
      </c>
    </row>
    <row r="7" spans="1:7" x14ac:dyDescent="0.3">
      <c r="A7">
        <v>4</v>
      </c>
      <c r="B7" t="s">
        <v>192</v>
      </c>
      <c r="E7">
        <v>4</v>
      </c>
      <c r="F7" t="s">
        <v>193</v>
      </c>
    </row>
    <row r="8" spans="1:7" x14ac:dyDescent="0.3">
      <c r="A8">
        <v>5</v>
      </c>
      <c r="B8" t="s">
        <v>194</v>
      </c>
      <c r="E8">
        <v>5</v>
      </c>
      <c r="F8" t="s">
        <v>195</v>
      </c>
    </row>
    <row r="9" spans="1:7" x14ac:dyDescent="0.3">
      <c r="A9">
        <v>6</v>
      </c>
      <c r="E9">
        <v>6</v>
      </c>
      <c r="F9" t="s">
        <v>196</v>
      </c>
    </row>
    <row r="10" spans="1:7" x14ac:dyDescent="0.3">
      <c r="A10">
        <v>7</v>
      </c>
      <c r="E10">
        <v>7</v>
      </c>
    </row>
    <row r="11" spans="1:7" x14ac:dyDescent="0.3">
      <c r="A11">
        <v>8</v>
      </c>
      <c r="E11">
        <v>8</v>
      </c>
    </row>
    <row r="12" spans="1:7" ht="15.6" customHeight="1" x14ac:dyDescent="0.3">
      <c r="A12">
        <v>9</v>
      </c>
      <c r="E12">
        <v>9</v>
      </c>
    </row>
    <row r="13" spans="1:7" x14ac:dyDescent="0.3">
      <c r="A13">
        <v>10</v>
      </c>
      <c r="E13">
        <v>10</v>
      </c>
    </row>
    <row r="14" spans="1:7" x14ac:dyDescent="0.3">
      <c r="A14" s="31" t="s">
        <v>89</v>
      </c>
      <c r="B14" s="31"/>
      <c r="C14" s="31"/>
      <c r="E14" s="31" t="s">
        <v>89</v>
      </c>
      <c r="F14" s="31"/>
      <c r="G14" s="31"/>
    </row>
    <row r="15" spans="1:7" x14ac:dyDescent="0.3">
      <c r="A15" t="s">
        <v>2</v>
      </c>
      <c r="B15" t="s">
        <v>3</v>
      </c>
      <c r="C15" t="s">
        <v>87</v>
      </c>
      <c r="E15" t="s">
        <v>2</v>
      </c>
      <c r="F15" t="s">
        <v>3</v>
      </c>
      <c r="G15" t="s">
        <v>87</v>
      </c>
    </row>
    <row r="16" spans="1:7" x14ac:dyDescent="0.3">
      <c r="A16">
        <v>1</v>
      </c>
      <c r="B16" t="s">
        <v>145</v>
      </c>
      <c r="E16">
        <v>1</v>
      </c>
      <c r="F16" t="s">
        <v>185</v>
      </c>
    </row>
    <row r="17" spans="1:6" x14ac:dyDescent="0.3">
      <c r="A17">
        <v>2</v>
      </c>
      <c r="B17" t="s">
        <v>184</v>
      </c>
      <c r="E17">
        <v>2</v>
      </c>
      <c r="F17" t="s">
        <v>186</v>
      </c>
    </row>
    <row r="18" spans="1:6" x14ac:dyDescent="0.3">
      <c r="A18">
        <v>3</v>
      </c>
      <c r="E18">
        <v>3</v>
      </c>
      <c r="F18" t="s">
        <v>187</v>
      </c>
    </row>
    <row r="19" spans="1:6" x14ac:dyDescent="0.3">
      <c r="A19">
        <v>4</v>
      </c>
      <c r="E19">
        <v>4</v>
      </c>
    </row>
    <row r="20" spans="1:6" x14ac:dyDescent="0.3">
      <c r="A20">
        <v>5</v>
      </c>
      <c r="E20">
        <v>5</v>
      </c>
    </row>
    <row r="21" spans="1:6" x14ac:dyDescent="0.3">
      <c r="A21">
        <v>6</v>
      </c>
      <c r="E21">
        <v>6</v>
      </c>
    </row>
  </sheetData>
  <mergeCells count="6">
    <mergeCell ref="A14:C14"/>
    <mergeCell ref="E14:G14"/>
    <mergeCell ref="A1:C1"/>
    <mergeCell ref="E1:G1"/>
    <mergeCell ref="A2:C2"/>
    <mergeCell ref="E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CBF56-4611-490F-9855-7733DCC3DC6A}">
  <dimension ref="A1:K46"/>
  <sheetViews>
    <sheetView tabSelected="1" zoomScaleNormal="100" workbookViewId="0">
      <selection activeCell="N18" sqref="N18"/>
    </sheetView>
  </sheetViews>
  <sheetFormatPr defaultRowHeight="14.4" x14ac:dyDescent="0.3"/>
  <cols>
    <col min="1" max="1" width="36.21875" bestFit="1" customWidth="1"/>
    <col min="4" max="4" width="25.109375" bestFit="1" customWidth="1"/>
    <col min="7" max="7" width="27.88671875" bestFit="1" customWidth="1"/>
    <col min="10" max="10" width="25.6640625" customWidth="1"/>
  </cols>
  <sheetData>
    <row r="1" spans="1:11" x14ac:dyDescent="0.3">
      <c r="A1" s="33" t="s">
        <v>40</v>
      </c>
      <c r="B1" s="33"/>
      <c r="D1" s="33" t="s">
        <v>41</v>
      </c>
      <c r="E1" s="33"/>
      <c r="G1" s="33" t="s">
        <v>42</v>
      </c>
      <c r="H1" s="33"/>
      <c r="J1" s="33" t="s">
        <v>43</v>
      </c>
      <c r="K1" s="33"/>
    </row>
    <row r="2" spans="1:11" x14ac:dyDescent="0.3">
      <c r="A2" t="s">
        <v>44</v>
      </c>
      <c r="B2">
        <f>E2+H2+K2+B19+E19+H19+K19+B34</f>
        <v>50</v>
      </c>
      <c r="D2" t="s">
        <v>45</v>
      </c>
      <c r="E2">
        <v>11</v>
      </c>
      <c r="G2" t="s">
        <v>46</v>
      </c>
      <c r="H2">
        <v>0</v>
      </c>
      <c r="J2" t="s">
        <v>47</v>
      </c>
      <c r="K2">
        <v>0</v>
      </c>
    </row>
    <row r="3" spans="1:11" x14ac:dyDescent="0.3">
      <c r="A3" t="s">
        <v>48</v>
      </c>
      <c r="B3">
        <f>E3+H3+K3+B20+E20+H20+K20+B35</f>
        <v>48</v>
      </c>
      <c r="D3" t="s">
        <v>49</v>
      </c>
      <c r="E3">
        <v>0</v>
      </c>
      <c r="G3" t="s">
        <v>50</v>
      </c>
      <c r="H3">
        <v>7</v>
      </c>
      <c r="J3" t="s">
        <v>51</v>
      </c>
      <c r="K3">
        <v>5</v>
      </c>
    </row>
    <row r="4" spans="1:11" x14ac:dyDescent="0.3">
      <c r="A4" t="s">
        <v>93</v>
      </c>
      <c r="B4">
        <f>E34+E35</f>
        <v>32</v>
      </c>
      <c r="D4" s="13" t="s">
        <v>52</v>
      </c>
      <c r="E4">
        <f>SUM(E2:E3)</f>
        <v>11</v>
      </c>
      <c r="G4" s="13" t="s">
        <v>52</v>
      </c>
      <c r="H4">
        <f>SUM(H2:H3)</f>
        <v>7</v>
      </c>
      <c r="J4" s="13" t="s">
        <v>52</v>
      </c>
      <c r="K4">
        <f>SUM(K2:K3)</f>
        <v>5</v>
      </c>
    </row>
    <row r="5" spans="1:11" x14ac:dyDescent="0.3">
      <c r="A5" s="13" t="s">
        <v>52</v>
      </c>
      <c r="B5" s="13">
        <f>SUM(B2:B4)</f>
        <v>130</v>
      </c>
    </row>
    <row r="6" spans="1:11" x14ac:dyDescent="0.3">
      <c r="D6" t="s">
        <v>53</v>
      </c>
      <c r="E6">
        <v>7</v>
      </c>
      <c r="G6" t="s">
        <v>53</v>
      </c>
      <c r="H6">
        <v>0</v>
      </c>
      <c r="J6" t="s">
        <v>53</v>
      </c>
      <c r="K6">
        <v>0</v>
      </c>
    </row>
    <row r="7" spans="1:11" x14ac:dyDescent="0.3">
      <c r="A7" t="s">
        <v>53</v>
      </c>
      <c r="B7">
        <f>E6+H6+K6+B23+E23+H23+K23+B38</f>
        <v>39</v>
      </c>
      <c r="D7" t="s">
        <v>54</v>
      </c>
      <c r="E7">
        <v>0</v>
      </c>
      <c r="G7" t="s">
        <v>54</v>
      </c>
      <c r="H7">
        <v>1</v>
      </c>
      <c r="J7" t="s">
        <v>54</v>
      </c>
      <c r="K7">
        <v>0</v>
      </c>
    </row>
    <row r="8" spans="1:11" x14ac:dyDescent="0.3">
      <c r="A8" t="s">
        <v>54</v>
      </c>
      <c r="B8">
        <f>E7+H7+K7+B24+E24+H24+K24+B39</f>
        <v>32</v>
      </c>
      <c r="D8" s="13" t="s">
        <v>55</v>
      </c>
      <c r="E8" s="13">
        <f>SUM(E6:E7)</f>
        <v>7</v>
      </c>
      <c r="G8" s="13" t="s">
        <v>55</v>
      </c>
      <c r="H8" s="13">
        <f>SUM(H6:H7)</f>
        <v>1</v>
      </c>
      <c r="J8" s="13" t="s">
        <v>55</v>
      </c>
      <c r="K8" s="13">
        <f>SUM(K6:K7)</f>
        <v>0</v>
      </c>
    </row>
    <row r="9" spans="1:11" x14ac:dyDescent="0.3">
      <c r="A9" t="s">
        <v>94</v>
      </c>
      <c r="B9">
        <f>E38+E39</f>
        <v>17</v>
      </c>
    </row>
    <row r="10" spans="1:11" x14ac:dyDescent="0.3">
      <c r="A10" s="13" t="s">
        <v>55</v>
      </c>
      <c r="B10" s="13">
        <f>SUM(B7:B9)</f>
        <v>88</v>
      </c>
      <c r="D10" t="s">
        <v>56</v>
      </c>
      <c r="E10">
        <f>E2-E6</f>
        <v>4</v>
      </c>
      <c r="G10" t="s">
        <v>56</v>
      </c>
      <c r="H10">
        <f>H2-H6</f>
        <v>0</v>
      </c>
      <c r="J10" t="s">
        <v>56</v>
      </c>
      <c r="K10">
        <f>K2-K6</f>
        <v>0</v>
      </c>
    </row>
    <row r="11" spans="1:11" x14ac:dyDescent="0.3">
      <c r="D11" t="s">
        <v>57</v>
      </c>
      <c r="E11">
        <f>E3-E7</f>
        <v>0</v>
      </c>
      <c r="G11" t="s">
        <v>57</v>
      </c>
      <c r="H11">
        <f>H3-H7</f>
        <v>6</v>
      </c>
      <c r="J11" t="s">
        <v>57</v>
      </c>
      <c r="K11">
        <f>K3-K7</f>
        <v>5</v>
      </c>
    </row>
    <row r="12" spans="1:11" x14ac:dyDescent="0.3">
      <c r="A12" t="s">
        <v>56</v>
      </c>
      <c r="B12">
        <f>B2-B7</f>
        <v>11</v>
      </c>
      <c r="D12" s="13" t="s">
        <v>58</v>
      </c>
      <c r="E12" s="13">
        <f>SUM(E10:E11)</f>
        <v>4</v>
      </c>
      <c r="G12" s="13" t="s">
        <v>58</v>
      </c>
      <c r="H12" s="13">
        <f>SUM(H10:H11)</f>
        <v>6</v>
      </c>
      <c r="J12" s="13" t="s">
        <v>58</v>
      </c>
      <c r="K12" s="13">
        <f>SUM(K10:K11)</f>
        <v>5</v>
      </c>
    </row>
    <row r="13" spans="1:11" x14ac:dyDescent="0.3">
      <c r="A13" t="s">
        <v>57</v>
      </c>
      <c r="B13">
        <f>B3-B8</f>
        <v>16</v>
      </c>
    </row>
    <row r="14" spans="1:11" x14ac:dyDescent="0.3">
      <c r="A14" t="s">
        <v>95</v>
      </c>
      <c r="B14">
        <f>E42+E43</f>
        <v>15</v>
      </c>
      <c r="D14" s="14" t="s">
        <v>59</v>
      </c>
      <c r="E14" s="15">
        <f>E8/E4</f>
        <v>0.63636363636363635</v>
      </c>
      <c r="G14" s="14" t="s">
        <v>59</v>
      </c>
      <c r="H14" s="15">
        <f>H8/H4</f>
        <v>0.14285714285714285</v>
      </c>
      <c r="J14" s="14" t="s">
        <v>59</v>
      </c>
      <c r="K14" s="15">
        <f>K8/K4</f>
        <v>0</v>
      </c>
    </row>
    <row r="15" spans="1:11" x14ac:dyDescent="0.3">
      <c r="A15" s="13" t="s">
        <v>58</v>
      </c>
      <c r="B15" s="13">
        <f>SUM(B12:B14)</f>
        <v>42</v>
      </c>
    </row>
    <row r="16" spans="1:11" x14ac:dyDescent="0.3">
      <c r="A16" s="14" t="s">
        <v>59</v>
      </c>
      <c r="B16" s="15">
        <f>B10/B5</f>
        <v>0.67692307692307696</v>
      </c>
    </row>
    <row r="18" spans="1:11" x14ac:dyDescent="0.3">
      <c r="A18" s="33" t="s">
        <v>60</v>
      </c>
      <c r="B18" s="33"/>
      <c r="D18" s="33" t="s">
        <v>61</v>
      </c>
      <c r="E18" s="33"/>
      <c r="G18" s="33" t="s">
        <v>62</v>
      </c>
      <c r="H18" s="33"/>
      <c r="J18" s="33" t="s">
        <v>63</v>
      </c>
      <c r="K18" s="33"/>
    </row>
    <row r="19" spans="1:11" x14ac:dyDescent="0.3">
      <c r="A19" t="s">
        <v>64</v>
      </c>
      <c r="B19">
        <v>6</v>
      </c>
      <c r="D19" t="s">
        <v>65</v>
      </c>
      <c r="E19">
        <v>12</v>
      </c>
      <c r="G19" t="s">
        <v>66</v>
      </c>
      <c r="H19">
        <v>12</v>
      </c>
      <c r="J19" t="s">
        <v>67</v>
      </c>
      <c r="K19">
        <v>5</v>
      </c>
    </row>
    <row r="20" spans="1:11" x14ac:dyDescent="0.3">
      <c r="A20" t="s">
        <v>68</v>
      </c>
      <c r="B20">
        <v>18</v>
      </c>
      <c r="D20" t="s">
        <v>69</v>
      </c>
      <c r="E20">
        <v>0</v>
      </c>
      <c r="G20" t="s">
        <v>70</v>
      </c>
      <c r="H20">
        <v>12</v>
      </c>
      <c r="J20" t="s">
        <v>71</v>
      </c>
      <c r="K20">
        <v>6</v>
      </c>
    </row>
    <row r="21" spans="1:11" x14ac:dyDescent="0.3">
      <c r="A21" s="13" t="s">
        <v>52</v>
      </c>
      <c r="B21">
        <f>SUM(B19:B20)</f>
        <v>24</v>
      </c>
      <c r="D21" s="13" t="s">
        <v>52</v>
      </c>
      <c r="E21">
        <f>SUM(E19:E20)</f>
        <v>12</v>
      </c>
      <c r="G21" s="13" t="s">
        <v>52</v>
      </c>
      <c r="H21">
        <f>SUM(H19:H20)</f>
        <v>24</v>
      </c>
      <c r="J21" s="13" t="s">
        <v>52</v>
      </c>
      <c r="K21">
        <f>SUM(K19:K20)</f>
        <v>11</v>
      </c>
    </row>
    <row r="23" spans="1:11" x14ac:dyDescent="0.3">
      <c r="A23" t="s">
        <v>53</v>
      </c>
      <c r="B23">
        <v>2</v>
      </c>
      <c r="D23" t="s">
        <v>53</v>
      </c>
      <c r="E23">
        <v>9</v>
      </c>
      <c r="G23" t="s">
        <v>53</v>
      </c>
      <c r="H23">
        <v>12</v>
      </c>
      <c r="J23" t="s">
        <v>53</v>
      </c>
      <c r="K23">
        <v>5</v>
      </c>
    </row>
    <row r="24" spans="1:11" x14ac:dyDescent="0.3">
      <c r="A24" t="s">
        <v>54</v>
      </c>
      <c r="B24">
        <v>13</v>
      </c>
      <c r="D24" t="s">
        <v>54</v>
      </c>
      <c r="E24">
        <v>0</v>
      </c>
      <c r="G24" t="s">
        <v>54</v>
      </c>
      <c r="H24">
        <v>12</v>
      </c>
      <c r="J24" t="s">
        <v>54</v>
      </c>
      <c r="K24">
        <v>6</v>
      </c>
    </row>
    <row r="25" spans="1:11" x14ac:dyDescent="0.3">
      <c r="A25" s="13" t="s">
        <v>55</v>
      </c>
      <c r="B25" s="13">
        <f>SUM(B23:B24)</f>
        <v>15</v>
      </c>
      <c r="D25" s="13" t="s">
        <v>55</v>
      </c>
      <c r="E25" s="13">
        <f>SUM(E23:E24)</f>
        <v>9</v>
      </c>
      <c r="G25" s="13" t="s">
        <v>55</v>
      </c>
      <c r="H25" s="13">
        <f>SUM(H23:H24)</f>
        <v>24</v>
      </c>
      <c r="J25" s="13" t="s">
        <v>55</v>
      </c>
      <c r="K25" s="13">
        <f>SUM(K23:K24)</f>
        <v>11</v>
      </c>
    </row>
    <row r="27" spans="1:11" x14ac:dyDescent="0.3">
      <c r="A27" t="s">
        <v>56</v>
      </c>
      <c r="B27">
        <f>B19-B23</f>
        <v>4</v>
      </c>
      <c r="D27" t="s">
        <v>56</v>
      </c>
      <c r="E27">
        <f>E19-E23</f>
        <v>3</v>
      </c>
      <c r="G27" t="s">
        <v>56</v>
      </c>
      <c r="H27">
        <f>H19-H23</f>
        <v>0</v>
      </c>
      <c r="J27" t="s">
        <v>56</v>
      </c>
      <c r="K27">
        <f>K19-K23</f>
        <v>0</v>
      </c>
    </row>
    <row r="28" spans="1:11" x14ac:dyDescent="0.3">
      <c r="A28" t="s">
        <v>57</v>
      </c>
      <c r="B28">
        <f>B20-B24</f>
        <v>5</v>
      </c>
      <c r="D28" t="s">
        <v>57</v>
      </c>
      <c r="E28">
        <f>E20-E24</f>
        <v>0</v>
      </c>
      <c r="G28" t="s">
        <v>57</v>
      </c>
      <c r="H28">
        <f>H20-H24</f>
        <v>0</v>
      </c>
      <c r="J28" t="s">
        <v>57</v>
      </c>
      <c r="K28">
        <f>K20-K24</f>
        <v>0</v>
      </c>
    </row>
    <row r="29" spans="1:11" x14ac:dyDescent="0.3">
      <c r="A29" s="13" t="s">
        <v>58</v>
      </c>
      <c r="B29" s="13">
        <f>SUM(B27:B28)</f>
        <v>9</v>
      </c>
      <c r="D29" s="13" t="s">
        <v>58</v>
      </c>
      <c r="E29" s="13">
        <f>SUM(E27:E28)</f>
        <v>3</v>
      </c>
      <c r="G29" s="13" t="s">
        <v>58</v>
      </c>
      <c r="H29" s="13">
        <f>SUM(H27:H28)</f>
        <v>0</v>
      </c>
      <c r="J29" s="13" t="s">
        <v>58</v>
      </c>
      <c r="K29" s="13">
        <f>SUM(K27:K28)</f>
        <v>0</v>
      </c>
    </row>
    <row r="31" spans="1:11" x14ac:dyDescent="0.3">
      <c r="A31" s="14" t="s">
        <v>59</v>
      </c>
      <c r="B31" s="15">
        <f>B25/B21</f>
        <v>0.625</v>
      </c>
      <c r="D31" s="14" t="s">
        <v>59</v>
      </c>
      <c r="E31" s="15">
        <f>E25/E21</f>
        <v>0.75</v>
      </c>
      <c r="G31" s="14" t="s">
        <v>59</v>
      </c>
      <c r="H31" s="15">
        <f>H25/H21</f>
        <v>1</v>
      </c>
      <c r="J31" s="14" t="s">
        <v>59</v>
      </c>
      <c r="K31" s="15">
        <f>K25/K21</f>
        <v>1</v>
      </c>
    </row>
    <row r="33" spans="1:8" x14ac:dyDescent="0.3">
      <c r="A33" s="33" t="s">
        <v>72</v>
      </c>
      <c r="B33" s="33"/>
      <c r="D33" s="33" t="s">
        <v>90</v>
      </c>
      <c r="E33" s="33"/>
      <c r="G33" s="33" t="s">
        <v>79</v>
      </c>
      <c r="H33" s="33"/>
    </row>
    <row r="34" spans="1:8" x14ac:dyDescent="0.3">
      <c r="A34" t="s">
        <v>73</v>
      </c>
      <c r="B34">
        <v>4</v>
      </c>
      <c r="D34" t="s">
        <v>91</v>
      </c>
      <c r="E34">
        <v>16</v>
      </c>
      <c r="G34" t="s">
        <v>80</v>
      </c>
      <c r="H34">
        <v>12</v>
      </c>
    </row>
    <row r="35" spans="1:8" x14ac:dyDescent="0.3">
      <c r="A35" t="s">
        <v>74</v>
      </c>
      <c r="B35">
        <v>0</v>
      </c>
      <c r="D35" t="s">
        <v>92</v>
      </c>
      <c r="E35">
        <v>16</v>
      </c>
      <c r="G35" t="s">
        <v>81</v>
      </c>
      <c r="H35">
        <v>6</v>
      </c>
    </row>
    <row r="36" spans="1:8" x14ac:dyDescent="0.3">
      <c r="A36" s="13" t="s">
        <v>52</v>
      </c>
      <c r="B36">
        <f>SUM(B34:B35)</f>
        <v>4</v>
      </c>
      <c r="D36" s="13" t="s">
        <v>52</v>
      </c>
      <c r="E36">
        <f>SUM(E34:E35)</f>
        <v>32</v>
      </c>
      <c r="G36" s="13" t="s">
        <v>52</v>
      </c>
      <c r="H36">
        <f>SUM(H34:H35)</f>
        <v>18</v>
      </c>
    </row>
    <row r="38" spans="1:8" x14ac:dyDescent="0.3">
      <c r="A38" t="s">
        <v>53</v>
      </c>
      <c r="B38">
        <v>4</v>
      </c>
      <c r="D38" t="s">
        <v>91</v>
      </c>
      <c r="E38">
        <v>7</v>
      </c>
      <c r="G38" t="s">
        <v>53</v>
      </c>
      <c r="H38">
        <v>12</v>
      </c>
    </row>
    <row r="39" spans="1:8" x14ac:dyDescent="0.3">
      <c r="A39" t="s">
        <v>54</v>
      </c>
      <c r="B39">
        <v>0</v>
      </c>
      <c r="D39" t="s">
        <v>92</v>
      </c>
      <c r="E39">
        <v>10</v>
      </c>
      <c r="G39" t="s">
        <v>54</v>
      </c>
      <c r="H39">
        <v>3</v>
      </c>
    </row>
    <row r="40" spans="1:8" x14ac:dyDescent="0.3">
      <c r="A40" s="13" t="s">
        <v>55</v>
      </c>
      <c r="B40" s="13">
        <f>SUM(B38:B39)</f>
        <v>4</v>
      </c>
      <c r="D40" s="13" t="s">
        <v>55</v>
      </c>
      <c r="E40" s="13">
        <f>SUM(E38:E39)</f>
        <v>17</v>
      </c>
      <c r="G40" s="13" t="s">
        <v>55</v>
      </c>
      <c r="H40" s="13">
        <f>SUM(H38:H39)</f>
        <v>15</v>
      </c>
    </row>
    <row r="42" spans="1:8" x14ac:dyDescent="0.3">
      <c r="A42" t="s">
        <v>56</v>
      </c>
      <c r="B42">
        <f>B34-B38</f>
        <v>0</v>
      </c>
      <c r="D42" t="s">
        <v>91</v>
      </c>
      <c r="E42">
        <f>E34-E38</f>
        <v>9</v>
      </c>
      <c r="G42" t="s">
        <v>56</v>
      </c>
      <c r="H42">
        <f>H34-H38</f>
        <v>0</v>
      </c>
    </row>
    <row r="43" spans="1:8" x14ac:dyDescent="0.3">
      <c r="A43" t="s">
        <v>57</v>
      </c>
      <c r="B43">
        <f>B35-B39</f>
        <v>0</v>
      </c>
      <c r="D43" t="s">
        <v>92</v>
      </c>
      <c r="E43">
        <f>E35-E39</f>
        <v>6</v>
      </c>
      <c r="G43" t="s">
        <v>57</v>
      </c>
      <c r="H43">
        <f>H35-H39</f>
        <v>3</v>
      </c>
    </row>
    <row r="44" spans="1:8" x14ac:dyDescent="0.3">
      <c r="A44" s="13" t="s">
        <v>58</v>
      </c>
      <c r="B44" s="13">
        <f>SUM(B42:B43)</f>
        <v>0</v>
      </c>
      <c r="D44" s="13" t="s">
        <v>58</v>
      </c>
      <c r="E44" s="13">
        <f>SUM(E42:E43)</f>
        <v>15</v>
      </c>
      <c r="G44" s="13" t="s">
        <v>58</v>
      </c>
      <c r="H44" s="13">
        <f>SUM(H42:H43)</f>
        <v>3</v>
      </c>
    </row>
    <row r="46" spans="1:8" x14ac:dyDescent="0.3">
      <c r="A46" s="14" t="s">
        <v>59</v>
      </c>
      <c r="B46" s="15">
        <f>B40/B36</f>
        <v>1</v>
      </c>
      <c r="D46" s="14" t="s">
        <v>59</v>
      </c>
      <c r="E46" s="15">
        <f>E40/E36</f>
        <v>0.53125</v>
      </c>
      <c r="G46" s="14" t="s">
        <v>59</v>
      </c>
      <c r="H46" s="15">
        <f>H40/H36</f>
        <v>0.83333333333333337</v>
      </c>
    </row>
  </sheetData>
  <mergeCells count="11">
    <mergeCell ref="A33:B33"/>
    <mergeCell ref="A1:B1"/>
    <mergeCell ref="D1:E1"/>
    <mergeCell ref="G1:H1"/>
    <mergeCell ref="J1:K1"/>
    <mergeCell ref="A18:B18"/>
    <mergeCell ref="D18:E18"/>
    <mergeCell ref="G18:H18"/>
    <mergeCell ref="J18:K18"/>
    <mergeCell ref="D33:E33"/>
    <mergeCell ref="G33:H33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F2A9E-33A0-4B0D-9483-F8CBC361FFFF}">
  <dimension ref="A1:F14"/>
  <sheetViews>
    <sheetView workbookViewId="0">
      <selection activeCell="D24" sqref="D24"/>
    </sheetView>
  </sheetViews>
  <sheetFormatPr defaultRowHeight="14.4" x14ac:dyDescent="0.3"/>
  <cols>
    <col min="1" max="1" width="14" bestFit="1" customWidth="1"/>
    <col min="2" max="2" width="10.33203125" bestFit="1" customWidth="1"/>
    <col min="3" max="3" width="11.44140625" bestFit="1" customWidth="1"/>
    <col min="4" max="4" width="15.5546875" bestFit="1" customWidth="1"/>
    <col min="5" max="5" width="12.77734375" bestFit="1" customWidth="1"/>
    <col min="6" max="6" width="22.77734375" bestFit="1" customWidth="1"/>
  </cols>
  <sheetData>
    <row r="1" spans="1:6" x14ac:dyDescent="0.3">
      <c r="A1" s="14" t="s">
        <v>3</v>
      </c>
      <c r="B1" s="14" t="s">
        <v>245</v>
      </c>
      <c r="C1" s="14" t="s">
        <v>246</v>
      </c>
      <c r="D1" s="14" t="s">
        <v>247</v>
      </c>
      <c r="E1" s="14" t="s">
        <v>248</v>
      </c>
      <c r="F1" s="14" t="s">
        <v>249</v>
      </c>
    </row>
    <row r="2" spans="1:6" x14ac:dyDescent="0.3">
      <c r="A2" t="s">
        <v>250</v>
      </c>
      <c r="B2" s="34">
        <v>25000</v>
      </c>
      <c r="C2" s="34">
        <v>800</v>
      </c>
      <c r="D2" s="34">
        <v>250</v>
      </c>
      <c r="E2" s="34" t="s">
        <v>251</v>
      </c>
      <c r="F2" t="s">
        <v>252</v>
      </c>
    </row>
    <row r="3" spans="1:6" x14ac:dyDescent="0.3">
      <c r="A3" t="s">
        <v>253</v>
      </c>
      <c r="B3" s="34">
        <f>(30000/31)*31</f>
        <v>30000</v>
      </c>
      <c r="C3" s="34">
        <v>800</v>
      </c>
      <c r="D3" s="34">
        <v>0</v>
      </c>
      <c r="E3" t="s">
        <v>254</v>
      </c>
      <c r="F3" t="s">
        <v>252</v>
      </c>
    </row>
    <row r="4" spans="1:6" x14ac:dyDescent="0.3">
      <c r="A4" t="s">
        <v>255</v>
      </c>
      <c r="B4" s="34">
        <v>32000</v>
      </c>
      <c r="C4" s="34">
        <v>800</v>
      </c>
      <c r="D4" s="34">
        <v>250</v>
      </c>
      <c r="E4" t="s">
        <v>251</v>
      </c>
      <c r="F4" t="s">
        <v>252</v>
      </c>
    </row>
    <row r="5" spans="1:6" x14ac:dyDescent="0.3">
      <c r="A5" t="s">
        <v>256</v>
      </c>
      <c r="B5" s="34">
        <v>15000</v>
      </c>
      <c r="C5" s="34">
        <v>650</v>
      </c>
      <c r="D5" s="34">
        <v>250</v>
      </c>
      <c r="E5" s="34" t="s">
        <v>257</v>
      </c>
      <c r="F5" t="s">
        <v>258</v>
      </c>
    </row>
    <row r="6" spans="1:6" x14ac:dyDescent="0.3">
      <c r="A6" t="s">
        <v>259</v>
      </c>
      <c r="B6" s="34">
        <v>22000</v>
      </c>
      <c r="C6" s="34">
        <v>650</v>
      </c>
      <c r="D6" s="34">
        <v>250</v>
      </c>
      <c r="E6" s="34" t="s">
        <v>257</v>
      </c>
      <c r="F6" t="s">
        <v>258</v>
      </c>
    </row>
    <row r="7" spans="1:6" x14ac:dyDescent="0.3">
      <c r="A7" t="s">
        <v>260</v>
      </c>
      <c r="B7" s="34">
        <v>30000</v>
      </c>
      <c r="C7" s="34">
        <v>0</v>
      </c>
      <c r="D7" s="34">
        <v>0</v>
      </c>
      <c r="E7" s="34" t="s">
        <v>257</v>
      </c>
      <c r="F7" t="s">
        <v>252</v>
      </c>
    </row>
    <row r="8" spans="1:6" x14ac:dyDescent="0.3">
      <c r="A8" t="s">
        <v>261</v>
      </c>
      <c r="B8" s="34">
        <f>((18000/31)*31)</f>
        <v>18000</v>
      </c>
      <c r="C8" s="34">
        <v>650</v>
      </c>
      <c r="D8" s="34">
        <v>250</v>
      </c>
      <c r="E8" s="34" t="s">
        <v>254</v>
      </c>
      <c r="F8" t="s">
        <v>258</v>
      </c>
    </row>
    <row r="9" spans="1:6" x14ac:dyDescent="0.3">
      <c r="A9" t="s">
        <v>262</v>
      </c>
      <c r="B9" s="34">
        <v>42000</v>
      </c>
      <c r="C9" s="34">
        <v>800</v>
      </c>
      <c r="D9" s="34">
        <v>0</v>
      </c>
      <c r="E9" s="34" t="s">
        <v>251</v>
      </c>
      <c r="F9" t="s">
        <v>252</v>
      </c>
    </row>
    <row r="10" spans="1:6" x14ac:dyDescent="0.3">
      <c r="A10" t="s">
        <v>263</v>
      </c>
      <c r="B10" s="34">
        <v>30000</v>
      </c>
      <c r="C10" s="35">
        <v>0</v>
      </c>
      <c r="D10" s="34">
        <v>0</v>
      </c>
      <c r="E10" s="34" t="s">
        <v>251</v>
      </c>
      <c r="F10" t="s">
        <v>264</v>
      </c>
    </row>
    <row r="11" spans="1:6" x14ac:dyDescent="0.3">
      <c r="A11" t="s">
        <v>265</v>
      </c>
      <c r="B11" s="34">
        <v>5000</v>
      </c>
      <c r="C11" s="34">
        <v>0</v>
      </c>
      <c r="D11" s="34">
        <v>0</v>
      </c>
      <c r="E11" s="34" t="s">
        <v>266</v>
      </c>
      <c r="F11" t="s">
        <v>267</v>
      </c>
    </row>
    <row r="13" spans="1:6" x14ac:dyDescent="0.3">
      <c r="B13" s="36"/>
    </row>
    <row r="14" spans="1:6" x14ac:dyDescent="0.3">
      <c r="A14" t="s">
        <v>268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MWF</vt:lpstr>
      <vt:lpstr>TTS</vt:lpstr>
      <vt:lpstr>Sat &amp; Sun</vt:lpstr>
      <vt:lpstr>Slot Analysis</vt:lpstr>
      <vt:lpstr>Team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Jain</dc:creator>
  <cp:lastModifiedBy>Arnav Jain</cp:lastModifiedBy>
  <dcterms:created xsi:type="dcterms:W3CDTF">2025-10-29T05:21:01Z</dcterms:created>
  <dcterms:modified xsi:type="dcterms:W3CDTF">2026-08-22T07:59:20Z</dcterms:modified>
</cp:coreProperties>
</file>